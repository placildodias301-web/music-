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6" autoFilterDateGrouping="1"/>
  </bookViews>
  <sheets>
    <sheet xmlns:r="http://schemas.openxmlformats.org/officeDocument/2006/relationships" name="README_BENCHMARK" sheetId="1" state="visible" r:id="rId1"/>
    <sheet xmlns:r="http://schemas.openxmlformats.org/officeDocument/2006/relationships" name="TEST_INDEX" sheetId="2" state="visible" r:id="rId2"/>
    <sheet xmlns:r="http://schemas.openxmlformats.org/officeDocument/2006/relationships" name="SONG_LEVEL_TRUTH" sheetId="3" state="visible" r:id="rId3"/>
    <sheet xmlns:r="http://schemas.openxmlformats.org/officeDocument/2006/relationships" name="BPM_TRUTH" sheetId="4" state="visible" r:id="rId4"/>
    <sheet xmlns:r="http://schemas.openxmlformats.org/officeDocument/2006/relationships" name="METER_TRUTH" sheetId="5" state="visible" r:id="rId5"/>
    <sheet xmlns:r="http://schemas.openxmlformats.org/officeDocument/2006/relationships" name="CHORD_TIMELINE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Read me" sheetId="9" state="visible" r:id="rId9"/>
    <sheet xmlns:r="http://schemas.openxmlformats.org/officeDocument/2006/relationships" name="ENGINE_RESULTS" sheetId="10" state="visible" r:id="rId10"/>
    <sheet xmlns:r="http://schemas.openxmlformats.org/officeDocument/2006/relationships" name="VALIDATION" sheetId="11" state="visible" r:id="rId11"/>
    <sheet xmlns:r="http://schemas.openxmlformats.org/officeDocument/2006/relationships" name="CONTROLLED_TESTS" sheetId="12" state="visible" r:id="rId12"/>
    <sheet xmlns:r="http://schemas.openxmlformats.org/officeDocument/2006/relationships" name="TEMPO_METER_VALIDATION" sheetId="13" state="visible" r:id="rId13"/>
  </sheets>
  <definedNames>
    <definedName name="_xlnm._FilterDatabase" localSheetId="1" hidden="1">'TEST_INDEX'!$A$1:$K$21</definedName>
    <definedName name="_xlnm._FilterDatabase" localSheetId="2" hidden="1">'SONG_LEVEL_TRUTH'!$A$1:$AF$21</definedName>
    <definedName name="_xlnm._FilterDatabase" localSheetId="5" hidden="1">'CHORD_TIMELINE'!$A$1:$I$2000</definedName>
    <definedName name="_xlnm._FilterDatabase" localSheetId="6" hidden="1">'NOTES'!$A$1:$AL$202</definedName>
    <definedName name="_xlnm._FilterDatabase" localSheetId="7" hidden="1">'SUMMARY'!$A$1:$AD$21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4A4A4A"/>
      </patternFill>
    </fill>
    <fill>
      <patternFill patternType="solid">
        <fgColor rgb="FF2F5D62"/>
      </patternFill>
    </fill>
    <fill>
      <patternFill patternType="solid">
        <fgColor rgb="FF5B4B8A"/>
      </patternFill>
    </fill>
    <fill>
      <patternFill patternType="solid">
        <fgColor rgb="FF8A5B3B"/>
      </patternFill>
    </fill>
    <fill>
      <patternFill patternType="solid">
        <fgColor rgb="FF3B6B8A"/>
      </patternFill>
    </fill>
    <fill>
      <patternFill patternType="solid">
        <fgColor rgb="FFFFF6CC"/>
      </patternFill>
    </fill>
    <fill>
      <patternFill patternType="solid">
        <fgColor rgb="FF1F2A44"/>
      </patternFill>
    </fill>
    <fill>
      <patternFill patternType="solid">
        <fgColor rgb="FFFFF6CC"/>
      </patternFill>
    </fill>
    <fill>
      <patternFill patternType="solid">
        <fgColor rgb="FFFFF6CC"/>
        <bgColor indexed="64"/>
      </patternFill>
    </fill>
    <fill>
      <patternFill patternType="solid">
        <fgColor rgb="FF1F2A44"/>
      </patternFill>
    </fill>
    <fill>
      <patternFill patternType="solid">
        <fgColor rgb="FFEEF2F7"/>
      </patternFill>
    </fill>
    <fill>
      <patternFill patternType="solid">
        <fgColor rgb="FFFFF6CC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2" fontId="0" fillId="0" borderId="0" applyAlignment="1" pivotButton="0" quotePrefix="0" xfId="0">
      <alignment horizontal="center" vertical="top" wrapText="1"/>
    </xf>
    <xf numFmtId="0" fontId="0" fillId="8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top" wrapText="1"/>
    </xf>
    <xf numFmtId="0" fontId="4" fillId="9" borderId="0" pivotButton="0" quotePrefix="0" xfId="0"/>
    <xf numFmtId="0" fontId="5" fillId="0" borderId="0" pivotButton="0" quotePrefix="0" xfId="0"/>
    <xf numFmtId="0" fontId="4" fillId="9" borderId="0" applyAlignment="1" pivotButton="0" quotePrefix="0" xfId="0">
      <alignment vertical="center" wrapText="1"/>
    </xf>
    <xf numFmtId="0" fontId="0" fillId="10" borderId="0" pivotButton="0" quotePrefix="0" xfId="0"/>
    <xf numFmtId="0" fontId="0" fillId="11" borderId="0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20" fontId="0" fillId="14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4.4"/>
  <cols>
    <col width="120" customWidth="1" min="1" max="1"/>
  </cols>
  <sheetData>
    <row r="1" ht="18" customHeight="1">
      <c r="A1" s="3" t="inlineStr">
        <is>
          <t>Wilsify AI analysis benchmark</t>
        </is>
      </c>
    </row>
    <row r="2" ht="28.8" customHeight="1">
      <c r="A2" s="4" t="inlineStr">
        <is>
          <t>Test IDs (TEST_001 ...) are permanent. Media files are named TEST_###.&lt;ext&gt;; file_rename_mapping.csv maps them back to the original names.</t>
        </is>
      </c>
    </row>
    <row r="3">
      <c r="A3" s="4" t="inlineStr">
        <is>
          <t>Sources everywhere: GROUND_TRUTH, WILSIFY_AI, CHORD_AI, OTHER_REPO, CLAUDE. Prediction columns are never copied into ground truth.</t>
        </is>
      </c>
    </row>
    <row r="4" ht="28.8" customHeight="1">
      <c r="A4" s="4" t="inlineStr">
        <is>
          <t>Ground truth values still to be provided: TO ENTER (key, capo), UNKNOWN (BPM), UNKNOWN / TO VERIFY (time signature). Do not replace them with a system prediction.</t>
        </is>
      </c>
    </row>
    <row r="5">
      <c r="A5" s="4" t="inlineStr">
        <is>
          <t>Yellow cells are for you. Empty system columns mean that system has not been run yet.</t>
        </is>
      </c>
    </row>
    <row r="6">
      <c r="A6" s="4" t="inlineStr">
        <is>
          <t>Capo: 0 = no capo, 1, 2, 3 ... = fret number (numbers, not text).</t>
        </is>
      </c>
    </row>
    <row r="7" ht="28.8" customHeight="1">
      <c r="A7" s="4" t="inlineStr">
        <is>
          <t>Chord timestamps are stored in seconds as raw numbers. Different systems will have different timestamps; timing tolerance is applied later, not when entering data.</t>
        </is>
      </c>
    </row>
    <row r="8">
      <c r="A8" s="4" t="inlineStr">
        <is>
          <t>Raw Chord is exactly what the source produced. Normalized Chord (e.g. Cmaj -&gt; C, Amin -&gt; Am) is filled later and never overwrites Raw Chord.</t>
        </is>
      </c>
    </row>
    <row r="9" ht="28.8" customHeight="1">
      <c r="A9" s="4" t="inlineStr">
        <is>
          <t>Existing sheets 'Read me', 'Videos', 'Chords' and 'Wilsify said' are kept unchanged. They use the old IDs v01-v12; TEST_INDEX has a Legacy ID column linking them (v01 = TEST_001 ... v12 = TEST_012).</t>
        </is>
      </c>
    </row>
    <row r="10" ht="28.8" customHeight="1">
      <c r="A10" s="4" t="inlineStr">
        <is>
          <t>Wilsify values in SONG_LEVEL_TRUTH and CHORD_TIMELINE come from the old 'Wilsify said' sheet (an earlier run of the app). They are not ground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16" customWidth="1" min="2" max="2"/>
    <col width="46" customWidth="1" min="3" max="3"/>
    <col width="10" customWidth="1" min="4" max="5"/>
    <col width="52" customWidth="1" min="6" max="6"/>
    <col width="10" customWidth="1" min="7" max="7"/>
    <col width="50" customWidth="1" min="8" max="8"/>
    <col width="12" customWidth="1" min="9" max="9"/>
    <col width="10" customWidth="1" min="10" max="10"/>
    <col width="14" customWidth="1" min="11" max="11"/>
  </cols>
  <sheetData>
    <row r="1" ht="34.05" customHeight="1">
      <c r="A1" s="5" t="inlineStr">
        <is>
          <t>Test ID</t>
        </is>
      </c>
      <c r="B1" s="5" t="inlineStr">
        <is>
          <t>Current Filename</t>
        </is>
      </c>
      <c r="C1" s="5" t="inlineStr">
        <is>
          <t>Original Filename</t>
        </is>
      </c>
      <c r="D1" s="5" t="inlineStr">
        <is>
          <t>File Type</t>
        </is>
      </c>
      <c r="E1" s="5" t="inlineStr">
        <is>
          <t>Duration</t>
        </is>
      </c>
      <c r="F1" s="5" t="inlineStr">
        <is>
          <t>Description</t>
        </is>
      </c>
      <c r="G1" s="5" t="inlineStr">
        <is>
          <t>Status</t>
        </is>
      </c>
      <c r="H1" s="5" t="inlineStr">
        <is>
          <t>Notes</t>
        </is>
      </c>
      <c r="I1" s="5" t="inlineStr">
        <is>
          <t>Duration (sec)</t>
        </is>
      </c>
      <c r="J1" s="5" t="inlineStr">
        <is>
          <t>Legacy ID</t>
        </is>
      </c>
      <c r="K1" s="5" t="inlineStr">
        <is>
          <t>Video Size (WxH)</t>
        </is>
      </c>
    </row>
    <row r="2" ht="28.8" customHeight="1">
      <c r="A2" s="4" t="inlineStr">
        <is>
          <t>TEST_001</t>
        </is>
      </c>
      <c r="B2" s="4" t="inlineStr">
        <is>
          <t>TEST_001.mp4</t>
        </is>
      </c>
      <c r="C2" s="4" t="inlineStr">
        <is>
          <t>InShot_20240603_124621068.mp4</t>
        </is>
      </c>
      <c r="D2" s="4" t="inlineStr">
        <is>
          <t>MP4</t>
        </is>
      </c>
      <c r="E2" s="4" t="inlineStr">
        <is>
          <t>0:31</t>
        </is>
      </c>
      <c r="F2" s="4" t="inlineStr">
        <is>
          <t>Boy playing acoustic guitar in a classroom</t>
        </is>
      </c>
      <c r="G2" s="4" t="inlineStr">
        <is>
          <t>READY</t>
        </is>
      </c>
      <c r="H2" s="4" t="inlineStr">
        <is>
          <t>Legacy ID v01 / 'Classroom Guitar'. Previous filename: v01_Classroom_Guitar.mp4</t>
        </is>
      </c>
      <c r="I2" s="6" t="n">
        <v>30.77</v>
      </c>
      <c r="J2" s="4" t="inlineStr">
        <is>
          <t>v01</t>
        </is>
      </c>
      <c r="K2" s="4" t="inlineStr">
        <is>
          <t>712x1280</t>
        </is>
      </c>
    </row>
    <row r="3" ht="28.8" customHeight="1">
      <c r="A3" s="4" t="inlineStr">
        <is>
          <t>TEST_002</t>
        </is>
      </c>
      <c r="B3" s="4" t="inlineStr">
        <is>
          <t>TEST_002.mp4</t>
        </is>
      </c>
      <c r="C3" s="4" t="inlineStr">
        <is>
          <t>Sunday brunch @thefishermanswharfmobor with @3_4_one.mp4</t>
        </is>
      </c>
      <c r="D3" s="4" t="inlineStr">
        <is>
          <t>MP4</t>
        </is>
      </c>
      <c r="E3" s="4" t="inlineStr">
        <is>
          <t>2:17</t>
        </is>
      </c>
      <c r="F3" s="4" t="inlineStr">
        <is>
          <t>Man in yellow tee playing keyboard, 'Goan music' brunch</t>
        </is>
      </c>
      <c r="G3" s="4" t="inlineStr">
        <is>
          <t>READY</t>
        </is>
      </c>
      <c r="H3" s="4" t="inlineStr">
        <is>
          <t>Legacy ID v02 / 'Keyboard Sunday Brunch'. Previous filename: v02_Keyboard_Sunday_Brunch.mp4</t>
        </is>
      </c>
      <c r="I3" s="6" t="n">
        <v>137.37</v>
      </c>
      <c r="J3" s="4" t="inlineStr">
        <is>
          <t>v02</t>
        </is>
      </c>
      <c r="K3" s="4" t="inlineStr">
        <is>
          <t>720x1280</t>
        </is>
      </c>
    </row>
    <row r="4" ht="28.8" customHeight="1">
      <c r="A4" s="4" t="inlineStr">
        <is>
          <t>TEST_003</t>
        </is>
      </c>
      <c r="B4" s="4" t="inlineStr">
        <is>
          <t>TEST_003.mp4</t>
        </is>
      </c>
      <c r="C4" s="4" t="inlineStr">
        <is>
          <t>Video-16744.mp4</t>
        </is>
      </c>
      <c r="D4" s="4" t="inlineStr">
        <is>
          <t>MP4</t>
        </is>
      </c>
      <c r="E4" s="4" t="inlineStr">
        <is>
          <t>0:26</t>
        </is>
      </c>
      <c r="F4" s="4" t="inlineStr">
        <is>
          <t>Group sitting in a living room, 'A generation that loves Jesus'</t>
        </is>
      </c>
      <c r="G4" s="4" t="inlineStr">
        <is>
          <t>READY</t>
        </is>
      </c>
      <c r="H4" s="4" t="inlineStr">
        <is>
          <t>Legacy ID v03 / 'Group Worship Singalong'. Previous filename: v03_Group_Worship_Singalong.mp4</t>
        </is>
      </c>
      <c r="I4" s="6" t="n">
        <v>25.93</v>
      </c>
      <c r="J4" s="4" t="inlineStr">
        <is>
          <t>v03</t>
        </is>
      </c>
      <c r="K4" s="4" t="inlineStr">
        <is>
          <t>1276x720</t>
        </is>
      </c>
    </row>
    <row r="5" ht="28.8" customHeight="1">
      <c r="A5" s="4" t="inlineStr">
        <is>
          <t>TEST_004</t>
        </is>
      </c>
      <c r="B5" s="4" t="inlineStr">
        <is>
          <t>TEST_004.mp4</t>
        </is>
      </c>
      <c r="C5" s="4" t="inlineStr">
        <is>
          <t>Video-22295.mp4</t>
        </is>
      </c>
      <c r="D5" s="4" t="inlineStr">
        <is>
          <t>MP4</t>
        </is>
      </c>
      <c r="E5" s="4" t="inlineStr">
        <is>
          <t>1:37</t>
        </is>
      </c>
      <c r="F5" s="4" t="inlineStr">
        <is>
          <t>Curly-haired guy, acoustic guitar, dark room</t>
        </is>
      </c>
      <c r="G5" s="4" t="inlineStr">
        <is>
          <t>READY</t>
        </is>
      </c>
      <c r="H5" s="4" t="inlineStr">
        <is>
          <t>Legacy ID v04 / 'Dark Room Acoustic'. Previous filename: v04_Dark_Room_Acoustic.mp4</t>
        </is>
      </c>
      <c r="I5" s="6" t="n">
        <v>96.56999999999999</v>
      </c>
      <c r="J5" s="4" t="inlineStr">
        <is>
          <t>v04</t>
        </is>
      </c>
      <c r="K5" s="4" t="inlineStr">
        <is>
          <t>720x1280</t>
        </is>
      </c>
    </row>
    <row r="6" ht="28.8" customHeight="1">
      <c r="A6" s="4" t="inlineStr">
        <is>
          <t>TEST_005</t>
        </is>
      </c>
      <c r="B6" s="4" t="inlineStr">
        <is>
          <t>TEST_005.mp4</t>
        </is>
      </c>
      <c r="C6" s="4" t="inlineStr">
        <is>
          <t>Video-23401.mp4</t>
        </is>
      </c>
      <c r="D6" s="4" t="inlineStr">
        <is>
          <t>MP4</t>
        </is>
      </c>
      <c r="E6" s="4" t="inlineStr">
        <is>
          <t>0:31</t>
        </is>
      </c>
      <c r="F6" s="4" t="inlineStr">
        <is>
          <t>Curly hair + glasses, singing 'bless the Lord oh my soul'</t>
        </is>
      </c>
      <c r="G6" s="4" t="inlineStr">
        <is>
          <t>READY</t>
        </is>
      </c>
      <c r="H6" s="4" t="inlineStr">
        <is>
          <t>Legacy ID v05 / 'Bless The Lord Acoustic'. Previous filename: v05_Bless_The_Lord_Acoustic.mp4</t>
        </is>
      </c>
      <c r="I6" s="6" t="n">
        <v>31.3</v>
      </c>
      <c r="J6" s="4" t="inlineStr">
        <is>
          <t>v05</t>
        </is>
      </c>
      <c r="K6" s="4" t="inlineStr">
        <is>
          <t>720x1280</t>
        </is>
      </c>
    </row>
    <row r="7" ht="28.8" customHeight="1">
      <c r="A7" s="4" t="inlineStr">
        <is>
          <t>TEST_006</t>
        </is>
      </c>
      <c r="B7" s="4" t="inlineStr">
        <is>
          <t>TEST_006.mp4</t>
        </is>
      </c>
      <c r="C7" s="4" t="inlineStr">
        <is>
          <t>Video-44412.mp4</t>
        </is>
      </c>
      <c r="D7" s="4" t="inlineStr">
        <is>
          <t>MP4</t>
        </is>
      </c>
      <c r="E7" s="4" t="inlineStr">
        <is>
          <t>1:14</t>
        </is>
      </c>
      <c r="F7" s="4" t="inlineStr">
        <is>
          <t>Two guys with acoustic guitars, teal room</t>
        </is>
      </c>
      <c r="G7" s="4" t="inlineStr">
        <is>
          <t>READY</t>
        </is>
      </c>
      <c r="H7" s="4" t="inlineStr">
        <is>
          <t>Legacy ID v06 / 'Duo Acoustic Jam'. Previous filename: v06_Duo_Acoustic_Jam.mp4</t>
        </is>
      </c>
      <c r="I7" s="6" t="n">
        <v>73.73999999999999</v>
      </c>
      <c r="J7" s="4" t="inlineStr">
        <is>
          <t>v06</t>
        </is>
      </c>
      <c r="K7" s="4" t="inlineStr">
        <is>
          <t>720x960</t>
        </is>
      </c>
    </row>
    <row r="8" ht="28.8" customHeight="1">
      <c r="A8" s="4" t="inlineStr">
        <is>
          <t>TEST_007</t>
        </is>
      </c>
      <c r="B8" s="4" t="inlineStr">
        <is>
          <t>TEST_007.mp4</t>
        </is>
      </c>
      <c r="C8" s="4" t="inlineStr">
        <is>
          <t>Video-45939.mp4</t>
        </is>
      </c>
      <c r="D8" s="4" t="inlineStr">
        <is>
          <t>MP4</t>
        </is>
      </c>
      <c r="E8" s="4" t="inlineStr">
        <is>
          <t>0:32</t>
        </is>
      </c>
      <c r="F8" s="4" t="inlineStr">
        <is>
          <t>Fingerstyle guitar with a tab shown on screen</t>
        </is>
      </c>
      <c r="G8" s="4" t="inlineStr">
        <is>
          <t>READY</t>
        </is>
      </c>
      <c r="H8" s="4" t="inlineStr">
        <is>
          <t>Legacy ID v07 / 'Fingerstyle Tab Lesson'. Previous filename: v07_Fingerstyle_Tab_Lesson.mp4</t>
        </is>
      </c>
      <c r="I8" s="6" t="n">
        <v>32.46</v>
      </c>
      <c r="J8" s="4" t="inlineStr">
        <is>
          <t>v07</t>
        </is>
      </c>
      <c r="K8" s="4" t="inlineStr">
        <is>
          <t>720x1280</t>
        </is>
      </c>
    </row>
    <row r="9" ht="28.8" customHeight="1">
      <c r="A9" s="4" t="inlineStr">
        <is>
          <t>TEST_008</t>
        </is>
      </c>
      <c r="B9" s="4" t="inlineStr">
        <is>
          <t>TEST_008.mp4</t>
        </is>
      </c>
      <c r="C9" s="4" t="inlineStr">
        <is>
          <t>Video-52398.mp4</t>
        </is>
      </c>
      <c r="D9" s="4" t="inlineStr">
        <is>
          <t>MP4</t>
        </is>
      </c>
      <c r="E9" s="4" t="inlineStr">
        <is>
          <t>0:30</t>
        </is>
      </c>
      <c r="F9" s="4" t="inlineStr">
        <is>
          <t>Man by a lake, 'I'm Not the Only One', Amaj7</t>
        </is>
      </c>
      <c r="G9" s="4" t="inlineStr">
        <is>
          <t>READY</t>
        </is>
      </c>
      <c r="H9" s="4" t="inlineStr">
        <is>
          <t>Legacy ID v08 / 'Lake Not The Only One'. Previous filename: v08_Lake_Not_The_Only_One.mp4</t>
        </is>
      </c>
      <c r="I9" s="6" t="n">
        <v>30.42</v>
      </c>
      <c r="J9" s="4" t="inlineStr">
        <is>
          <t>v08</t>
        </is>
      </c>
      <c r="K9" s="4" t="inlineStr">
        <is>
          <t>720x1280</t>
        </is>
      </c>
    </row>
    <row r="10" ht="28.8" customHeight="1">
      <c r="A10" s="4" t="inlineStr">
        <is>
          <t>TEST_009</t>
        </is>
      </c>
      <c r="B10" s="4" t="inlineStr">
        <is>
          <t>TEST_009.mp4</t>
        </is>
      </c>
      <c r="C10" s="4" t="inlineStr">
        <is>
          <t>Video-57244.mp4</t>
        </is>
      </c>
      <c r="D10" s="4" t="inlineStr">
        <is>
          <t>MP4</t>
        </is>
      </c>
      <c r="E10" s="4" t="inlineStr">
        <is>
          <t>1:09</t>
        </is>
      </c>
      <c r="F10" s="4" t="inlineStr">
        <is>
          <t>Band jam with saxophone, 'Hips Don't Lie'</t>
        </is>
      </c>
      <c r="G10" s="4" t="inlineStr">
        <is>
          <t>READY</t>
        </is>
      </c>
      <c r="H10" s="4" t="inlineStr">
        <is>
          <t>Legacy ID v09 / 'Hips Dont Lie Sax Jam'. Previous filename: v09_Hips_Dont_Lie_Sax_Jam.mp4</t>
        </is>
      </c>
      <c r="I10" s="6" t="n">
        <v>68.73</v>
      </c>
      <c r="J10" s="4" t="inlineStr">
        <is>
          <t>v09</t>
        </is>
      </c>
      <c r="K10" s="4" t="inlineStr">
        <is>
          <t>720x1280</t>
        </is>
      </c>
    </row>
    <row r="11" ht="28.8" customHeight="1">
      <c r="A11" s="4" t="inlineStr">
        <is>
          <t>TEST_010</t>
        </is>
      </c>
      <c r="B11" s="4" t="inlineStr">
        <is>
          <t>TEST_010.mp4</t>
        </is>
      </c>
      <c r="C11" s="4" t="inlineStr">
        <is>
          <t>WhatsApp Video 2026-10-11 at 10.02.14 PM.mp4</t>
        </is>
      </c>
      <c r="D11" s="4" t="inlineStr">
        <is>
          <t>MP4</t>
        </is>
      </c>
      <c r="E11" s="4" t="inlineStr">
        <is>
          <t>1:17</t>
        </is>
      </c>
      <c r="F11" s="4" t="inlineStr">
        <is>
          <t>Guy on guitar + girl singing, @thestringprojectmusic</t>
        </is>
      </c>
      <c r="G11" s="4" t="inlineStr">
        <is>
          <t>READY</t>
        </is>
      </c>
      <c r="H11" s="4" t="inlineStr">
        <is>
          <t>Legacy ID v10 / 'String Project Duet'. Previous filename: v10_String_Project_Duet.mp4</t>
        </is>
      </c>
      <c r="I11" s="6" t="n">
        <v>76.66</v>
      </c>
      <c r="J11" s="4" t="inlineStr">
        <is>
          <t>v10</t>
        </is>
      </c>
      <c r="K11" s="4" t="inlineStr">
        <is>
          <t>478x850</t>
        </is>
      </c>
    </row>
    <row r="12" ht="28.8" customHeight="1">
      <c r="A12" s="4" t="inlineStr">
        <is>
          <t>TEST_011</t>
        </is>
      </c>
      <c r="B12" s="4" t="inlineStr">
        <is>
          <t>TEST_011.mp4</t>
        </is>
      </c>
      <c r="C12" s="4" t="inlineStr">
        <is>
          <t>WhatsApp Video 2026-10-11 at 8.42.45 PM.mp4</t>
        </is>
      </c>
      <c r="D12" s="4" t="inlineStr">
        <is>
          <t>MP4</t>
        </is>
      </c>
      <c r="E12" s="4" t="inlineStr">
        <is>
          <t>1:37</t>
        </is>
      </c>
      <c r="F12" s="4" t="inlineStr">
        <is>
          <t>Band, 'Novro mho'zo Portugala thavn Bombaim yetolo', @thesecretsauce_band</t>
        </is>
      </c>
      <c r="G12" s="4" t="inlineStr">
        <is>
          <t>READY</t>
        </is>
      </c>
      <c r="H12" s="4" t="inlineStr">
        <is>
          <t>Legacy ID v11 / 'Konkani Band Novro Portugala'. Previous filename: v11_Konkani_Band_Novro_Portugala.mp4</t>
        </is>
      </c>
      <c r="I12" s="6" t="n">
        <v>97.23999999999999</v>
      </c>
      <c r="J12" s="4" t="inlineStr">
        <is>
          <t>v11</t>
        </is>
      </c>
      <c r="K12" s="4" t="inlineStr">
        <is>
          <t>478x850</t>
        </is>
      </c>
    </row>
    <row r="13" ht="28.8" customHeight="1">
      <c r="A13" s="4" t="inlineStr">
        <is>
          <t>TEST_012</t>
        </is>
      </c>
      <c r="B13" s="4" t="inlineStr">
        <is>
          <t>TEST_012.mp4</t>
        </is>
      </c>
      <c r="C13" s="4" t="inlineStr">
        <is>
          <t>o começo dessa música é quase um trava língua... @alcioneamarrom.mp4</t>
        </is>
      </c>
      <c r="D13" s="4" t="inlineStr">
        <is>
          <t>MP4</t>
        </is>
      </c>
      <c r="E13" s="4" t="inlineStr">
        <is>
          <t>0:41</t>
        </is>
      </c>
      <c r="F13" s="4" t="inlineStr">
        <is>
          <t>Girl singing with acoustic guitar, Portuguese song</t>
        </is>
      </c>
      <c r="G13" s="4" t="inlineStr">
        <is>
          <t>READY</t>
        </is>
      </c>
      <c r="H13" s="4" t="inlineStr">
        <is>
          <t>Legacy ID v12 / 'Portuguese Girl Guitar'. Previous filename: v12_Portuguese_Girl_Guitar.mp4</t>
        </is>
      </c>
      <c r="I13" s="6" t="n">
        <v>41.1</v>
      </c>
      <c r="J13" s="4" t="inlineStr">
        <is>
          <t>v12</t>
        </is>
      </c>
      <c r="K13" s="4" t="inlineStr">
        <is>
          <t>1080x1920</t>
        </is>
      </c>
    </row>
    <row r="14" ht="28.8" customHeight="1">
      <c r="A14" s="4" t="inlineStr">
        <is>
          <t>TEST_013</t>
        </is>
      </c>
      <c r="B14" s="4" t="inlineStr">
        <is>
          <t>TEST_013.mp4</t>
        </is>
      </c>
      <c r="C14" s="4" t="inlineStr">
        <is>
          <t>WhatsApp Video 2026-10-16 at 2.50.19 PM.mp4</t>
        </is>
      </c>
      <c r="D14" s="4" t="inlineStr">
        <is>
          <t>MP4</t>
        </is>
      </c>
      <c r="E14" s="4" t="inlineStr">
        <is>
          <t>1:18</t>
        </is>
      </c>
      <c r="F14" s="4" t="inlineStr">
        <is>
          <t>NOT PROVIDED</t>
        </is>
      </c>
      <c r="G14" s="4" t="inlineStr">
        <is>
          <t>READY</t>
        </is>
      </c>
      <c r="H14" s="4" t="inlineStr">
        <is>
          <t>Added 2026-10-16 (WhatsApp). Description not provided yet.</t>
        </is>
      </c>
      <c r="I14" s="6" t="n">
        <v>78.03</v>
      </c>
      <c r="J14" s="4" t="n"/>
      <c r="K14" s="4" t="inlineStr">
        <is>
          <t>480x854</t>
        </is>
      </c>
    </row>
    <row r="15" ht="28.8" customHeight="1">
      <c r="A15" s="4" t="inlineStr">
        <is>
          <t>TEST_014</t>
        </is>
      </c>
      <c r="B15" s="4" t="inlineStr">
        <is>
          <t>TEST_014.mp4</t>
        </is>
      </c>
      <c r="C15" s="4" t="inlineStr">
        <is>
          <t>WhatsApp Video 2026-10-16 at 2.50.28 PM.mp4</t>
        </is>
      </c>
      <c r="D15" s="4" t="inlineStr">
        <is>
          <t>MP4</t>
        </is>
      </c>
      <c r="E15" s="4" t="inlineStr">
        <is>
          <t>0:44</t>
        </is>
      </c>
      <c r="F15" s="4" t="inlineStr">
        <is>
          <t>NOT PROVIDED</t>
        </is>
      </c>
      <c r="G15" s="4" t="inlineStr">
        <is>
          <t>READY</t>
        </is>
      </c>
      <c r="H15" s="4" t="inlineStr">
        <is>
          <t>Added 2026-10-16 (WhatsApp). Description not provided yet.</t>
        </is>
      </c>
      <c r="I15" s="6" t="n">
        <v>43.58</v>
      </c>
      <c r="J15" s="4" t="n"/>
      <c r="K15" s="4" t="inlineStr">
        <is>
          <t>480x854</t>
        </is>
      </c>
    </row>
    <row r="16" ht="28.8" customHeight="1">
      <c r="A16" s="4" t="inlineStr">
        <is>
          <t>TEST_015</t>
        </is>
      </c>
      <c r="B16" s="4" t="inlineStr">
        <is>
          <t>TEST_015.mp4</t>
        </is>
      </c>
      <c r="C16" s="4" t="inlineStr">
        <is>
          <t>WhatsApp Video 2026-10-16 at 2.51.08 PM.mp4</t>
        </is>
      </c>
      <c r="D16" s="4" t="inlineStr">
        <is>
          <t>MP4</t>
        </is>
      </c>
      <c r="E16" s="4" t="inlineStr">
        <is>
          <t>0:29</t>
        </is>
      </c>
      <c r="F16" s="4" t="inlineStr">
        <is>
          <t>NOT PROVIDED</t>
        </is>
      </c>
      <c r="G16" s="4" t="inlineStr">
        <is>
          <t>READY</t>
        </is>
      </c>
      <c r="H16" s="4" t="inlineStr">
        <is>
          <t>Added 2026-10-16 (WhatsApp). Description not provided yet.</t>
        </is>
      </c>
      <c r="I16" s="6" t="n">
        <v>29.04</v>
      </c>
      <c r="J16" s="4" t="n"/>
      <c r="K16" s="4" t="inlineStr">
        <is>
          <t>478x850</t>
        </is>
      </c>
    </row>
    <row r="17" ht="28.8" customHeight="1">
      <c r="A17" s="4" t="inlineStr">
        <is>
          <t>TEST_016</t>
        </is>
      </c>
      <c r="B17" s="4" t="inlineStr">
        <is>
          <t>TEST_016.mp4</t>
        </is>
      </c>
      <c r="C17" s="4" t="inlineStr">
        <is>
          <t>WhatsApp Video 2026-10-16 at 2.51.09 PM.mp4</t>
        </is>
      </c>
      <c r="D17" s="4" t="inlineStr">
        <is>
          <t>MP4</t>
        </is>
      </c>
      <c r="E17" s="4" t="inlineStr">
        <is>
          <t>1:12</t>
        </is>
      </c>
      <c r="F17" s="4" t="inlineStr">
        <is>
          <t>NOT PROVIDED</t>
        </is>
      </c>
      <c r="G17" s="4" t="inlineStr">
        <is>
          <t>READY</t>
        </is>
      </c>
      <c r="H17" s="4" t="inlineStr">
        <is>
          <t>Added 2026-10-16 (WhatsApp). Description not provided yet.</t>
        </is>
      </c>
      <c r="I17" s="6" t="n">
        <v>72.45</v>
      </c>
      <c r="J17" s="4" t="n"/>
      <c r="K17" s="4" t="inlineStr">
        <is>
          <t>480x854</t>
        </is>
      </c>
    </row>
    <row r="18" ht="28.8" customHeight="1">
      <c r="A18" s="4" t="inlineStr">
        <is>
          <t>TEST_017</t>
        </is>
      </c>
      <c r="B18" s="4" t="inlineStr">
        <is>
          <t>TEST_017.mp4</t>
        </is>
      </c>
      <c r="C18" s="4" t="inlineStr">
        <is>
          <t>WhatsApp Video 2026-10-16 at 2.51.09 PM (1).mp4</t>
        </is>
      </c>
      <c r="D18" s="4" t="inlineStr">
        <is>
          <t>MP4</t>
        </is>
      </c>
      <c r="E18" s="4" t="inlineStr">
        <is>
          <t>2:14</t>
        </is>
      </c>
      <c r="F18" s="4" t="inlineStr">
        <is>
          <t>NOT PROVIDED</t>
        </is>
      </c>
      <c r="G18" s="4" t="inlineStr">
        <is>
          <t>READY</t>
        </is>
      </c>
      <c r="H18" s="4" t="inlineStr">
        <is>
          <t>Added 2026-10-16 (WhatsApp). Description not provided yet.</t>
        </is>
      </c>
      <c r="I18" s="6" t="n">
        <v>133.68</v>
      </c>
      <c r="J18" s="4" t="n"/>
      <c r="K18" s="4" t="inlineStr">
        <is>
          <t>848x478</t>
        </is>
      </c>
    </row>
    <row r="19" ht="28.8" customHeight="1">
      <c r="A19" s="4" t="inlineStr">
        <is>
          <t>TEST_018</t>
        </is>
      </c>
      <c r="B19" s="4" t="inlineStr">
        <is>
          <t>TEST_018.mp4</t>
        </is>
      </c>
      <c r="C19" s="4" t="inlineStr">
        <is>
          <t>WhatsApp Video 2026-10-16 at 2.51.10 PM.mp4</t>
        </is>
      </c>
      <c r="D19" s="4" t="inlineStr">
        <is>
          <t>MP4</t>
        </is>
      </c>
      <c r="E19" s="4" t="inlineStr">
        <is>
          <t>1:14</t>
        </is>
      </c>
      <c r="F19" s="4" t="inlineStr">
        <is>
          <t>NOT PROVIDED</t>
        </is>
      </c>
      <c r="G19" s="4" t="inlineStr">
        <is>
          <t>READY</t>
        </is>
      </c>
      <c r="H19" s="4" t="inlineStr">
        <is>
          <t>Added 2026-10-16 (WhatsApp). Description not provided yet.</t>
        </is>
      </c>
      <c r="I19" s="6" t="n">
        <v>74</v>
      </c>
      <c r="J19" s="4" t="n"/>
      <c r="K19" s="4" t="inlineStr">
        <is>
          <t>476x848</t>
        </is>
      </c>
    </row>
    <row r="20" ht="28.8" customHeight="1">
      <c r="A20" s="4" t="inlineStr">
        <is>
          <t>TEST_019</t>
        </is>
      </c>
      <c r="B20" s="4" t="inlineStr">
        <is>
          <t>TEST_019.mp4</t>
        </is>
      </c>
      <c r="C20" s="4" t="inlineStr">
        <is>
          <t>WhatsApp Video 2026-10-16 at 2.51.10 PM (1).mp4</t>
        </is>
      </c>
      <c r="D20" s="4" t="inlineStr">
        <is>
          <t>MP4</t>
        </is>
      </c>
      <c r="E20" s="4" t="inlineStr">
        <is>
          <t>1:23</t>
        </is>
      </c>
      <c r="F20" s="4" t="inlineStr">
        <is>
          <t>NOT PROVIDED</t>
        </is>
      </c>
      <c r="G20" s="4" t="inlineStr">
        <is>
          <t>READY</t>
        </is>
      </c>
      <c r="H20" s="4" t="inlineStr">
        <is>
          <t>Added 2026-10-16 (WhatsApp). Description not provided yet.</t>
        </is>
      </c>
      <c r="I20" s="6" t="n">
        <v>83</v>
      </c>
      <c r="J20" s="4" t="n"/>
      <c r="K20" s="4" t="inlineStr">
        <is>
          <t>478x850</t>
        </is>
      </c>
    </row>
    <row r="21" ht="28.8" customHeight="1">
      <c r="A21" s="4" t="inlineStr">
        <is>
          <t>TEST_020</t>
        </is>
      </c>
      <c r="B21" s="4" t="inlineStr">
        <is>
          <t>TEST_020.mp4</t>
        </is>
      </c>
      <c r="C21" s="4" t="inlineStr">
        <is>
          <t>WhatsApp Video 2026-10-16 at 2.51.10 PM (2).mp4</t>
        </is>
      </c>
      <c r="D21" s="4" t="inlineStr">
        <is>
          <t>MP4</t>
        </is>
      </c>
      <c r="E21" s="4" t="inlineStr">
        <is>
          <t>1:41</t>
        </is>
      </c>
      <c r="F21" s="4" t="inlineStr">
        <is>
          <t>NOT PROVIDED</t>
        </is>
      </c>
      <c r="G21" s="4" t="inlineStr">
        <is>
          <t>READY</t>
        </is>
      </c>
      <c r="H21" s="4" t="inlineStr">
        <is>
          <t>Added 2026-10-16 (WhatsApp). Description not provided yet.</t>
        </is>
      </c>
      <c r="I21" s="6" t="n">
        <v>100.65</v>
      </c>
      <c r="J21" s="4" t="n"/>
      <c r="K21" s="4" t="inlineStr">
        <is>
          <t>480x854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2" ySplit="1" topLeftCell="L2" activePane="bottomRight" state="frozen"/>
      <selection pane="topRight" activeCell="A1" sqref="A1"/>
      <selection pane="bottomLeft" activeCell="A1" sqref="A1"/>
      <selection pane="bottomRight" activeCell="S8" sqref="S8"/>
    </sheetView>
  </sheetViews>
  <sheetFormatPr baseColWidth="8" defaultRowHeight="14.4"/>
  <cols>
    <col width="10" customWidth="1" min="1" max="1"/>
    <col width="15" customWidth="1" min="2" max="2"/>
    <col width="10" customWidth="1" min="3" max="3"/>
    <col width="15" customWidth="1" min="4" max="23"/>
    <col width="16" customWidth="1" min="24" max="31"/>
    <col width="70" customWidth="1" min="32" max="32"/>
  </cols>
  <sheetData>
    <row r="1" ht="34.05" customHeight="1">
      <c r="A1" s="15" t="inlineStr">
        <is>
          <t>Test ID</t>
        </is>
      </c>
      <c r="B1" s="15" t="inlineStr">
        <is>
          <t>Filename</t>
        </is>
      </c>
      <c r="C1" s="16" t="inlineStr">
        <is>
          <t>Duration (sec)</t>
        </is>
      </c>
      <c r="D1" s="17" t="inlineStr">
        <is>
          <t>Capo - Ground Truth / By Ear</t>
        </is>
      </c>
      <c r="E1" s="17" t="inlineStr">
        <is>
          <t>Capo - Wilsify AI</t>
        </is>
      </c>
      <c r="F1" s="17" t="inlineStr">
        <is>
          <t>Capo - Chord AI</t>
        </is>
      </c>
      <c r="G1" s="17" t="inlineStr">
        <is>
          <t>Capo - Other Repo</t>
        </is>
      </c>
      <c r="H1" s="17" t="inlineStr">
        <is>
          <t>Capo - Claude</t>
        </is>
      </c>
      <c r="I1" s="18" t="inlineStr">
        <is>
          <t>BPM - Ground Truth / By Ear</t>
        </is>
      </c>
      <c r="J1" s="18" t="inlineStr">
        <is>
          <t>BPM - Wilsify AI</t>
        </is>
      </c>
      <c r="K1" s="18" t="inlineStr">
        <is>
          <t>BPM - Chord AI</t>
        </is>
      </c>
      <c r="L1" s="18" t="inlineStr">
        <is>
          <t>BPM - Other Repo</t>
        </is>
      </c>
      <c r="M1" s="18" t="inlineStr">
        <is>
          <t>BPM - Claude</t>
        </is>
      </c>
      <c r="N1" s="19" t="inlineStr">
        <is>
          <t>Time Signature - Ground Truth / By Ear</t>
        </is>
      </c>
      <c r="O1" s="19" t="inlineStr">
        <is>
          <t>Time Signature - Wilsify AI</t>
        </is>
      </c>
      <c r="P1" s="19" t="inlineStr">
        <is>
          <t>Time Signature - Chord AI</t>
        </is>
      </c>
      <c r="Q1" s="19" t="inlineStr">
        <is>
          <t>Time Signature - Other Repo</t>
        </is>
      </c>
      <c r="R1" s="19" t="inlineStr">
        <is>
          <t>Time Signature - Claude</t>
        </is>
      </c>
      <c r="S1" s="20" t="inlineStr">
        <is>
          <t>Key - Ground Truth / Played</t>
        </is>
      </c>
      <c r="T1" s="20" t="inlineStr">
        <is>
          <t>Key - Wilsify AI</t>
        </is>
      </c>
      <c r="U1" s="20" t="inlineStr">
        <is>
          <t>Key - Chord AI</t>
        </is>
      </c>
      <c r="V1" s="20" t="inlineStr">
        <is>
          <t>Key - Other Repo</t>
        </is>
      </c>
      <c r="W1" s="20" t="inlineStr">
        <is>
          <t>Key - Claude</t>
        </is>
      </c>
      <c r="X1" s="16" t="inlineStr">
        <is>
          <t>Detected Tuning - Wilsify</t>
        </is>
      </c>
      <c r="Y1" s="16" t="inlineStr">
        <is>
          <t>Detected Tuning - Chord AI</t>
        </is>
      </c>
      <c r="Z1" s="16" t="inlineStr">
        <is>
          <t>Detected Tuning - Other Repo</t>
        </is>
      </c>
      <c r="AA1" s="16" t="inlineStr">
        <is>
          <t>Detected Tuning - Claude</t>
        </is>
      </c>
      <c r="AB1" s="16" t="inlineStr">
        <is>
          <t>Confidence - Wilsify</t>
        </is>
      </c>
      <c r="AC1" s="16" t="inlineStr">
        <is>
          <t>Confidence - Chord AI</t>
        </is>
      </c>
      <c r="AD1" s="16" t="inlineStr">
        <is>
          <t>Confidence - Other Repo</t>
        </is>
      </c>
      <c r="AE1" s="16" t="inlineStr">
        <is>
          <t>Confidence - Claude</t>
        </is>
      </c>
      <c r="AF1" s="16" t="inlineStr">
        <is>
          <t>Comments</t>
        </is>
      </c>
    </row>
    <row r="2" ht="43.2" customHeight="1">
      <c r="A2" s="21" t="inlineStr">
        <is>
          <t>TEST_001</t>
        </is>
      </c>
      <c r="B2" s="21" t="inlineStr">
        <is>
          <t>TEST_001.mp4</t>
        </is>
      </c>
      <c r="C2" s="22" t="n">
        <v>30.77</v>
      </c>
      <c r="D2" s="23" t="n">
        <v>4</v>
      </c>
      <c r="E2" s="21" t="n">
        <v>4</v>
      </c>
      <c r="F2" s="21" t="n">
        <v>4</v>
      </c>
      <c r="G2" s="21" t="inlineStr">
        <is>
          <t>Not estimated</t>
        </is>
      </c>
      <c r="H2" s="21" t="inlineStr">
        <is>
          <t>Not estimated</t>
        </is>
      </c>
      <c r="I2" s="23">
        <f>IF(ISNUMBER(BPM_TRUTH!B2),BPM_TRUTH!B2,"UNKNOWN")</f>
        <v/>
      </c>
      <c r="J2" s="24" t="n">
        <v>125</v>
      </c>
      <c r="K2" s="21" t="n">
        <v>125</v>
      </c>
      <c r="L2" s="21" t="n">
        <v>124</v>
      </c>
      <c r="M2" s="21" t="n">
        <v>123</v>
      </c>
      <c r="N2" s="23">
        <f>IF(OR(METER_TRUTH!B2="",LEFT(METER_TRUTH!B2,7)="UNKNOWN"),"UNKNOWN",METER_TRUTH!B2)</f>
        <v/>
      </c>
      <c r="O2" s="27" t="inlineStr">
        <is>
          <t>4/4</t>
        </is>
      </c>
      <c r="P2" s="21" t="inlineStr">
        <is>
          <t>Not Shown</t>
        </is>
      </c>
      <c r="Q2" s="21" t="inlineStr">
        <is>
          <t>Not estimated</t>
        </is>
      </c>
      <c r="R2" s="21" t="inlineStr">
        <is>
          <t>3/4</t>
        </is>
      </c>
      <c r="S2" s="32" t="inlineStr">
        <is>
          <t>B (4th fret G)</t>
        </is>
      </c>
      <c r="T2" s="21" t="inlineStr">
        <is>
          <t>B (4th fret G)</t>
        </is>
      </c>
      <c r="U2" s="21" t="inlineStr">
        <is>
          <t>B (4th fret G)</t>
        </is>
      </c>
      <c r="V2" s="21" t="inlineStr">
        <is>
          <t>F# Major</t>
        </is>
      </c>
      <c r="W2" s="21" t="inlineStr">
        <is>
          <t>F# Major</t>
        </is>
      </c>
      <c r="X2" s="21" t="inlineStr">
        <is>
          <t>EADGBE</t>
        </is>
      </c>
      <c r="Y2" s="21" t="inlineStr">
        <is>
          <t>EADGBE</t>
        </is>
      </c>
      <c r="Z2" s="21" t="inlineStr">
        <is>
          <t>Not detected</t>
        </is>
      </c>
      <c r="AA2" s="21" t="inlineStr">
        <is>
          <t>Not detected (audio -5 cents vs A440)</t>
        </is>
      </c>
      <c r="AB2" s="21" t="n"/>
      <c r="AC2" s="21" t="inlineStr">
        <is>
          <t>not shown</t>
        </is>
      </c>
      <c r="AD2" s="21" t="inlineStr">
        <is>
          <t>key strength 0.88; tempo conf 1.91</t>
        </is>
      </c>
      <c r="AE2" s="21" t="inlineStr">
        <is>
          <t>key votes 9/16 engines; tempo engines agreeing 4/4</t>
        </is>
      </c>
      <c r="AF2" s="21" t="inlineStr">
        <is>
          <t>Wilsify = old 'Wilsify said' run (capo 'none' recorded as 0). First chords as detected: B G#m B C#7 F# C#7 B F# G#m C#7 F# A#m. Old 'Videos' sheet has Capo fret = 4 pre-filled; not treated as ground truth until you confirm.</t>
        </is>
      </c>
    </row>
    <row r="3" ht="43.2" customHeight="1">
      <c r="A3" s="21" t="inlineStr">
        <is>
          <t>TEST_002</t>
        </is>
      </c>
      <c r="B3" s="21" t="inlineStr">
        <is>
          <t>TEST_002.mp4</t>
        </is>
      </c>
      <c r="C3" s="22" t="n">
        <v>137.37</v>
      </c>
      <c r="D3" s="23" t="n">
        <v>0</v>
      </c>
      <c r="E3" s="21" t="n">
        <v>0</v>
      </c>
      <c r="F3" s="21" t="n">
        <v>0</v>
      </c>
      <c r="G3" s="21" t="inlineStr">
        <is>
          <t>Not estimated</t>
        </is>
      </c>
      <c r="H3" s="21" t="inlineStr">
        <is>
          <t>Not estimated</t>
        </is>
      </c>
      <c r="I3" s="23">
        <f>IF(ISNUMBER(BPM_TRUTH!B3),BPM_TRUTH!B3,"UNKNOWN")</f>
        <v/>
      </c>
      <c r="J3" s="24" t="n">
        <v>90</v>
      </c>
      <c r="K3" s="21" t="n">
        <v>180</v>
      </c>
      <c r="L3" s="21" t="n">
        <v>178</v>
      </c>
      <c r="M3" s="21" t="n">
        <v>89</v>
      </c>
      <c r="N3" s="23">
        <f>IF(OR(METER_TRUTH!B3="",LEFT(METER_TRUTH!B3,7)="UNKNOWN"),"UNKNOWN",METER_TRUTH!B3)</f>
        <v/>
      </c>
      <c r="O3" s="27" t="inlineStr">
        <is>
          <t>3/4</t>
        </is>
      </c>
      <c r="P3" s="21" t="inlineStr">
        <is>
          <t>Not Shown</t>
        </is>
      </c>
      <c r="Q3" s="21" t="inlineStr">
        <is>
          <t>Not estimated</t>
        </is>
      </c>
      <c r="R3" s="21" t="inlineStr">
        <is>
          <t>AMBIGUOUS</t>
        </is>
      </c>
      <c r="S3" s="32" t="inlineStr">
        <is>
          <t>D Major</t>
        </is>
      </c>
      <c r="T3" s="21" t="inlineStr">
        <is>
          <t>D Major</t>
        </is>
      </c>
      <c r="U3" s="21" t="inlineStr">
        <is>
          <t>D Major</t>
        </is>
      </c>
      <c r="V3" s="21" t="inlineStr">
        <is>
          <t>D Major</t>
        </is>
      </c>
      <c r="W3" s="21" t="inlineStr">
        <is>
          <t>D Major</t>
        </is>
      </c>
      <c r="X3" s="21" t="inlineStr">
        <is>
          <t>EADGBE</t>
        </is>
      </c>
      <c r="Y3" s="21" t="inlineStr">
        <is>
          <t>EADGBE</t>
        </is>
      </c>
      <c r="Z3" s="21" t="inlineStr">
        <is>
          <t>Not detected</t>
        </is>
      </c>
      <c r="AA3" s="21" t="inlineStr">
        <is>
          <t>Not detected (audio -5 cents vs A440)</t>
        </is>
      </c>
      <c r="AB3" s="21" t="n"/>
      <c r="AC3" s="21" t="inlineStr">
        <is>
          <t>not shown</t>
        </is>
      </c>
      <c r="AD3" s="21" t="inlineStr">
        <is>
          <t>key strength 0.98; tempo conf 1.55</t>
        </is>
      </c>
      <c r="AE3" s="21" t="inlineStr">
        <is>
          <t>key votes 13/16 engines; tempo engines agreeing 4/4</t>
        </is>
      </c>
      <c r="AF3" s="21" t="inlineStr">
        <is>
          <t>Wilsify = old 'Wilsify said' run (capo 'none' recorded as 0). First chords as detected: G Bm7 G A G D G Bm F#m7 Em G A. Old 'Videos' sheet has Capo fret = 0 pre-filled; not treated as ground truth until you confirm.</t>
        </is>
      </c>
    </row>
    <row r="4" ht="43.2" customHeight="1">
      <c r="A4" s="21" t="inlineStr">
        <is>
          <t>TEST_003</t>
        </is>
      </c>
      <c r="B4" s="21" t="inlineStr">
        <is>
          <t>TEST_003.mp4</t>
        </is>
      </c>
      <c r="C4" s="22" t="n">
        <v>25.93</v>
      </c>
      <c r="D4" s="23" t="n">
        <v>0</v>
      </c>
      <c r="E4" s="21" t="n">
        <v>0</v>
      </c>
      <c r="F4" s="21" t="n">
        <v>0</v>
      </c>
      <c r="G4" s="21" t="inlineStr">
        <is>
          <t>Not estimated</t>
        </is>
      </c>
      <c r="H4" s="21" t="inlineStr">
        <is>
          <t>Not estimated</t>
        </is>
      </c>
      <c r="I4" s="23">
        <f>IF(ISNUMBER(BPM_TRUTH!B4),BPM_TRUTH!B4,"UNKNOWN")</f>
        <v/>
      </c>
      <c r="J4" s="24" t="n">
        <v>155</v>
      </c>
      <c r="K4" s="21" t="n">
        <v>79</v>
      </c>
      <c r="L4" s="21" t="n">
        <v>154</v>
      </c>
      <c r="M4" s="21" t="n">
        <v>152</v>
      </c>
      <c r="N4" s="23">
        <f>IF(OR(METER_TRUTH!B4="",LEFT(METER_TRUTH!B4,7)="UNKNOWN"),"UNKNOWN",METER_TRUTH!B4)</f>
        <v/>
      </c>
      <c r="O4" s="21" t="n"/>
      <c r="P4" s="21" t="inlineStr">
        <is>
          <t>Not Shown</t>
        </is>
      </c>
      <c r="Q4" s="21" t="inlineStr">
        <is>
          <t>Not estimated</t>
        </is>
      </c>
      <c r="R4" s="21" t="inlineStr">
        <is>
          <t>4/4</t>
        </is>
      </c>
      <c r="S4" s="32" t="inlineStr">
        <is>
          <t>Bb</t>
        </is>
      </c>
      <c r="T4" s="21" t="inlineStr">
        <is>
          <t>F Major</t>
        </is>
      </c>
      <c r="U4" s="21" t="inlineStr">
        <is>
          <t>Bb</t>
        </is>
      </c>
      <c r="V4" s="21" t="inlineStr">
        <is>
          <t>Bb Major</t>
        </is>
      </c>
      <c r="W4" s="21" t="inlineStr">
        <is>
          <t>A# Major</t>
        </is>
      </c>
      <c r="X4" s="21" t="inlineStr">
        <is>
          <t>EADGBE</t>
        </is>
      </c>
      <c r="Y4" s="21" t="inlineStr">
        <is>
          <t>EADGBE</t>
        </is>
      </c>
      <c r="Z4" s="21" t="inlineStr">
        <is>
          <t>Not detected</t>
        </is>
      </c>
      <c r="AA4" s="21" t="inlineStr">
        <is>
          <t>Not detected (audio +10 cents vs A440)</t>
        </is>
      </c>
      <c r="AB4" s="21" t="n"/>
      <c r="AC4" s="21" t="inlineStr">
        <is>
          <t>not shown</t>
        </is>
      </c>
      <c r="AD4" s="21" t="inlineStr">
        <is>
          <t>key strength 0.86; tempo conf 0.97</t>
        </is>
      </c>
      <c r="AE4" s="21" t="inlineStr">
        <is>
          <t>key votes 13/16 engines; tempo engines agreeing 3/4</t>
        </is>
      </c>
      <c r="AF4" s="21" t="inlineStr">
        <is>
          <t>Wilsify = old 'Wilsify said' run (capo 'none' recorded as 0). First chords as detected: F F7 D# Gm7 A# Dm Gm D# Gm7 D# A# Dm. Old 'Videos' sheet has Capo fret = 0 pre-filled; not treated as ground truth until you confirm.</t>
        </is>
      </c>
    </row>
    <row r="5" ht="43.2" customHeight="1">
      <c r="A5" s="21" t="inlineStr">
        <is>
          <t>TEST_004</t>
        </is>
      </c>
      <c r="B5" s="21" t="inlineStr">
        <is>
          <t>TEST_004.mp4</t>
        </is>
      </c>
      <c r="C5" s="22" t="n">
        <v>96.56999999999999</v>
      </c>
      <c r="D5" s="23" t="n">
        <v>0</v>
      </c>
      <c r="E5" s="21" t="n">
        <v>0</v>
      </c>
      <c r="F5" s="21" t="n">
        <v>0</v>
      </c>
      <c r="G5" s="21" t="inlineStr">
        <is>
          <t>Not estimated</t>
        </is>
      </c>
      <c r="H5" s="21" t="inlineStr">
        <is>
          <t>Not estimated</t>
        </is>
      </c>
      <c r="I5" s="23">
        <f>IF(ISNUMBER(BPM_TRUTH!B5),BPM_TRUTH!B5,"UNKNOWN")</f>
        <v/>
      </c>
      <c r="J5" s="24" t="n">
        <v>110</v>
      </c>
      <c r="K5" s="21" t="n">
        <v>111</v>
      </c>
      <c r="L5" s="21" t="n">
        <v>108</v>
      </c>
      <c r="M5" s="21" t="n">
        <v>108</v>
      </c>
      <c r="N5" s="23">
        <f>IF(OR(METER_TRUTH!B5="",LEFT(METER_TRUTH!B5,7)="UNKNOWN"),"UNKNOWN",METER_TRUTH!B5)</f>
        <v/>
      </c>
      <c r="O5" s="27" t="inlineStr">
        <is>
          <t>4/4</t>
        </is>
      </c>
      <c r="P5" s="21" t="inlineStr">
        <is>
          <t>Not Shown</t>
        </is>
      </c>
      <c r="Q5" s="21" t="inlineStr">
        <is>
          <t>Not estimated</t>
        </is>
      </c>
      <c r="R5" s="21" t="inlineStr">
        <is>
          <t>2/4</t>
        </is>
      </c>
      <c r="S5" s="23" t="inlineStr">
        <is>
          <t>E Major</t>
        </is>
      </c>
      <c r="T5" s="21" t="inlineStr">
        <is>
          <t>E Major</t>
        </is>
      </c>
      <c r="U5" s="21" t="inlineStr">
        <is>
          <t>C#m</t>
        </is>
      </c>
      <c r="V5" s="21" t="inlineStr">
        <is>
          <t>E Major</t>
        </is>
      </c>
      <c r="W5" s="21" t="inlineStr">
        <is>
          <t>E Major</t>
        </is>
      </c>
      <c r="X5" s="21" t="inlineStr">
        <is>
          <t>EADGBE</t>
        </is>
      </c>
      <c r="Y5" s="21" t="inlineStr">
        <is>
          <t>EADGBE</t>
        </is>
      </c>
      <c r="Z5" s="21" t="inlineStr">
        <is>
          <t>Not detected</t>
        </is>
      </c>
      <c r="AA5" s="21" t="inlineStr">
        <is>
          <t>Not detected (audio +5 cents vs A440)</t>
        </is>
      </c>
      <c r="AB5" s="21" t="n"/>
      <c r="AC5" s="21" t="inlineStr">
        <is>
          <t>not shown</t>
        </is>
      </c>
      <c r="AD5" s="21" t="inlineStr">
        <is>
          <t>key strength 0.81; tempo conf 0.56</t>
        </is>
      </c>
      <c r="AE5" s="21" t="inlineStr">
        <is>
          <t>key votes 16/16 engines; tempo engines agreeing 3/4</t>
        </is>
      </c>
      <c r="AF5" s="21" t="inlineStr">
        <is>
          <t>Wilsify = old 'Wilsify said' run (capo 'none' recorded as 0). First chords as detected: E A F#m7 E A F#m A F#m Em E G#m E. Old 'Videos' sheet has Capo fret = 0 pre-filled; not treated as ground truth until you confirm.</t>
        </is>
      </c>
    </row>
    <row r="6" ht="43.2" customHeight="1">
      <c r="A6" s="21" t="inlineStr">
        <is>
          <t>TEST_005</t>
        </is>
      </c>
      <c r="B6" s="21" t="inlineStr">
        <is>
          <t>TEST_005.mp4</t>
        </is>
      </c>
      <c r="C6" s="22" t="n">
        <v>31.3</v>
      </c>
      <c r="D6" s="23" t="n">
        <v>0</v>
      </c>
      <c r="E6" s="21" t="n">
        <v>0</v>
      </c>
      <c r="F6" s="21" t="n">
        <v>0</v>
      </c>
      <c r="G6" s="21" t="inlineStr">
        <is>
          <t>Not estimated</t>
        </is>
      </c>
      <c r="H6" s="21" t="inlineStr">
        <is>
          <t>Not estimated</t>
        </is>
      </c>
      <c r="I6" s="23">
        <f>IF(ISNUMBER(BPM_TRUTH!B6),BPM_TRUTH!B6,"UNKNOWN")</f>
        <v/>
      </c>
      <c r="J6" s="24" t="n">
        <v>129</v>
      </c>
      <c r="K6" s="21" t="n">
        <v>66</v>
      </c>
      <c r="L6" s="21" t="n">
        <v>130</v>
      </c>
      <c r="M6" s="21" t="n">
        <v>129</v>
      </c>
      <c r="N6" s="23">
        <f>IF(OR(METER_TRUTH!B6="",LEFT(METER_TRUTH!B6,7)="UNKNOWN"),"UNKNOWN",METER_TRUTH!B6)</f>
        <v/>
      </c>
      <c r="O6" s="27" t="inlineStr">
        <is>
          <t>4/4</t>
        </is>
      </c>
      <c r="P6" s="21" t="inlineStr">
        <is>
          <t>Not Shown</t>
        </is>
      </c>
      <c r="Q6" s="21" t="inlineStr">
        <is>
          <t>Not estimated</t>
        </is>
      </c>
      <c r="R6" s="21" t="inlineStr">
        <is>
          <t>AMBIGUOUS</t>
        </is>
      </c>
      <c r="S6" s="23" t="inlineStr">
        <is>
          <t>Eb</t>
        </is>
      </c>
      <c r="T6" s="21" t="inlineStr">
        <is>
          <t>Eb Major</t>
        </is>
      </c>
      <c r="U6" s="21" t="inlineStr">
        <is>
          <t>Eb</t>
        </is>
      </c>
      <c r="V6" s="21" t="inlineStr">
        <is>
          <t>Eb Major</t>
        </is>
      </c>
      <c r="W6" s="21" t="inlineStr">
        <is>
          <t>D# Major</t>
        </is>
      </c>
      <c r="X6" s="21" t="inlineStr">
        <is>
          <t>EADGBE</t>
        </is>
      </c>
      <c r="Y6" s="21" t="inlineStr">
        <is>
          <t>EADGBE</t>
        </is>
      </c>
      <c r="Z6" s="21" t="inlineStr">
        <is>
          <t>Not detected</t>
        </is>
      </c>
      <c r="AA6" s="21" t="inlineStr">
        <is>
          <t>Not detected (audio +5 cents vs A440)</t>
        </is>
      </c>
      <c r="AB6" s="21" t="n"/>
      <c r="AC6" s="21" t="inlineStr">
        <is>
          <t>not shown</t>
        </is>
      </c>
      <c r="AD6" s="21" t="inlineStr">
        <is>
          <t>key strength 0.95; tempo conf 0.89</t>
        </is>
      </c>
      <c r="AE6" s="21" t="inlineStr">
        <is>
          <t>key votes 16/16 engines; tempo engines agreeing 4/4</t>
        </is>
      </c>
      <c r="AF6" s="21" t="inlineStr">
        <is>
          <t>Wilsify = old 'Wilsify said' run (capo 'none' recorded as 0). First chords as detected: D# G# Cm7 D# A# D# Fm7 Cm7 D# A# D# G#. Old 'Videos' sheet has Capo fret = 0 pre-filled; not treated as ground truth until you confirm.</t>
        </is>
      </c>
    </row>
    <row r="7" ht="43.2" customHeight="1">
      <c r="A7" s="21" t="inlineStr">
        <is>
          <t>TEST_006</t>
        </is>
      </c>
      <c r="B7" s="21" t="inlineStr">
        <is>
          <t>TEST_006.mp4</t>
        </is>
      </c>
      <c r="C7" s="22" t="n">
        <v>73.73999999999999</v>
      </c>
      <c r="D7" s="23" t="n">
        <v>0</v>
      </c>
      <c r="E7" s="21" t="n">
        <v>0</v>
      </c>
      <c r="F7" s="21" t="n">
        <v>0</v>
      </c>
      <c r="G7" s="21" t="inlineStr">
        <is>
          <t>Not estimated</t>
        </is>
      </c>
      <c r="H7" s="21" t="inlineStr">
        <is>
          <t>Not estimated</t>
        </is>
      </c>
      <c r="I7" s="23">
        <f>IF(ISNUMBER(BPM_TRUTH!B7),BPM_TRUTH!B7,"UNKNOWN")</f>
        <v/>
      </c>
      <c r="J7" s="24" t="n">
        <v>105</v>
      </c>
      <c r="K7" s="21" t="n">
        <v>106</v>
      </c>
      <c r="L7" s="21" t="n">
        <v>104</v>
      </c>
      <c r="M7" s="21" t="n">
        <v>106</v>
      </c>
      <c r="N7" s="23">
        <f>IF(OR(METER_TRUTH!B7="",LEFT(METER_TRUTH!B7,7)="UNKNOWN"),"UNKNOWN",METER_TRUTH!B7)</f>
        <v/>
      </c>
      <c r="O7" s="27" t="inlineStr">
        <is>
          <t>4/4</t>
        </is>
      </c>
      <c r="P7" s="21" t="inlineStr">
        <is>
          <t>Not Shown</t>
        </is>
      </c>
      <c r="Q7" s="21" t="inlineStr">
        <is>
          <t>Not estimated</t>
        </is>
      </c>
      <c r="R7" s="21" t="inlineStr">
        <is>
          <t>12/8</t>
        </is>
      </c>
      <c r="S7" s="23" t="inlineStr">
        <is>
          <t>G Major</t>
        </is>
      </c>
      <c r="T7" s="21" t="inlineStr">
        <is>
          <t>D Major</t>
        </is>
      </c>
      <c r="U7" s="21" t="inlineStr">
        <is>
          <t>G Major</t>
        </is>
      </c>
      <c r="V7" s="21" t="inlineStr">
        <is>
          <t>G Major</t>
        </is>
      </c>
      <c r="W7" s="21" t="inlineStr">
        <is>
          <t>G Major</t>
        </is>
      </c>
      <c r="X7" s="21" t="inlineStr">
        <is>
          <t>EADGBE</t>
        </is>
      </c>
      <c r="Y7" s="21" t="inlineStr">
        <is>
          <t>EADGBE</t>
        </is>
      </c>
      <c r="Z7" s="21" t="inlineStr">
        <is>
          <t>Not detected</t>
        </is>
      </c>
      <c r="AA7" s="21" t="inlineStr">
        <is>
          <t>Not detected (audio +10 cents vs A440)</t>
        </is>
      </c>
      <c r="AB7" s="21" t="n"/>
      <c r="AC7" s="21" t="inlineStr">
        <is>
          <t>not shown</t>
        </is>
      </c>
      <c r="AD7" s="21" t="inlineStr">
        <is>
          <t>key strength 0.9; tempo conf 2.54</t>
        </is>
      </c>
      <c r="AE7" s="21" t="inlineStr">
        <is>
          <t>key votes 15/16 engines; tempo engines agreeing 4/4</t>
        </is>
      </c>
      <c r="AF7" s="21" t="inlineStr">
        <is>
          <t>Wilsify = old 'Wilsify said' run (capo 'none' recorded as 0). First chords as detected: G Em G Em7 A7 G Em7 G Em D Em D. Old 'Videos' sheet has Capo fret = 0 pre-filled; not treated as ground truth until you confirm.</t>
        </is>
      </c>
    </row>
    <row r="8" ht="43.2" customHeight="1">
      <c r="A8" s="21" t="inlineStr">
        <is>
          <t>TEST_007</t>
        </is>
      </c>
      <c r="B8" s="21" t="inlineStr">
        <is>
          <t>TEST_007.mp4</t>
        </is>
      </c>
      <c r="C8" s="22" t="n">
        <v>32.46</v>
      </c>
      <c r="D8" s="23" t="n">
        <v>0</v>
      </c>
      <c r="E8" s="21" t="n">
        <v>0</v>
      </c>
      <c r="F8" s="21" t="n">
        <v>0</v>
      </c>
      <c r="G8" s="21" t="inlineStr">
        <is>
          <t>Not estimated</t>
        </is>
      </c>
      <c r="H8" s="21" t="inlineStr">
        <is>
          <t>Not estimated</t>
        </is>
      </c>
      <c r="I8" s="23">
        <f>IF(ISNUMBER(BPM_TRUTH!B8),BPM_TRUTH!B8,"UNKNOWN")</f>
        <v/>
      </c>
      <c r="J8" s="24" t="n">
        <v>120</v>
      </c>
      <c r="K8" s="21" t="n">
        <v>120</v>
      </c>
      <c r="L8" s="21" t="n">
        <v>118</v>
      </c>
      <c r="M8" s="21" t="n">
        <v>118</v>
      </c>
      <c r="N8" s="23">
        <f>IF(OR(METER_TRUTH!B8="",LEFT(METER_TRUTH!B8,7)="UNKNOWN"),"UNKNOWN",METER_TRUTH!B8)</f>
        <v/>
      </c>
      <c r="O8" s="27" t="inlineStr">
        <is>
          <t>4/4</t>
        </is>
      </c>
      <c r="P8" s="21" t="inlineStr">
        <is>
          <t>Not Shown</t>
        </is>
      </c>
      <c r="Q8" s="21" t="inlineStr">
        <is>
          <t>Not estimated</t>
        </is>
      </c>
      <c r="R8" s="21" t="inlineStr">
        <is>
          <t>AMBIGUOUS</t>
        </is>
      </c>
      <c r="S8" s="32" t="inlineStr">
        <is>
          <t>E Minor</t>
        </is>
      </c>
      <c r="T8" s="21" t="inlineStr">
        <is>
          <t>E Minor</t>
        </is>
      </c>
      <c r="U8" s="21" t="inlineStr">
        <is>
          <t>E Minor</t>
        </is>
      </c>
      <c r="V8" s="21" t="inlineStr">
        <is>
          <t>E Minor</t>
        </is>
      </c>
      <c r="W8" s="21" t="inlineStr">
        <is>
          <t>E Minor</t>
        </is>
      </c>
      <c r="X8" s="21" t="inlineStr">
        <is>
          <t>EADGBE</t>
        </is>
      </c>
      <c r="Y8" s="21" t="inlineStr">
        <is>
          <t>EADGBE</t>
        </is>
      </c>
      <c r="Z8" s="21" t="inlineStr">
        <is>
          <t>Not detected</t>
        </is>
      </c>
      <c r="AA8" s="21" t="inlineStr">
        <is>
          <t>Not detected (audio -0 cents vs A440)</t>
        </is>
      </c>
      <c r="AB8" s="21" t="n"/>
      <c r="AC8" s="21" t="inlineStr">
        <is>
          <t>not shown</t>
        </is>
      </c>
      <c r="AD8" s="21" t="inlineStr">
        <is>
          <t>key strength 0.95; tempo conf 2.48</t>
        </is>
      </c>
      <c r="AE8" s="21" t="inlineStr">
        <is>
          <t>key votes 13/16 engines; tempo engines agreeing 4/4</t>
        </is>
      </c>
      <c r="AF8" s="21" t="inlineStr">
        <is>
          <t>Wilsify = old 'Wilsify said' run (capo 'none' recorded as 0). First chords as detected: E Em Em7 D G D Am G Bm Em B7 C. Old 'Videos' sheet has Capo fret = 0 pre-filled; not treated as ground truth until you confirm.</t>
        </is>
      </c>
    </row>
    <row r="9" ht="43.2" customHeight="1">
      <c r="A9" s="21" t="inlineStr">
        <is>
          <t>TEST_008</t>
        </is>
      </c>
      <c r="B9" s="21" t="inlineStr">
        <is>
          <t>TEST_008.mp4</t>
        </is>
      </c>
      <c r="C9" s="22" t="n">
        <v>30.42</v>
      </c>
      <c r="D9" s="23" t="n">
        <v>0</v>
      </c>
      <c r="E9" s="21" t="n">
        <v>0</v>
      </c>
      <c r="F9" s="21" t="n">
        <v>0</v>
      </c>
      <c r="G9" s="21" t="inlineStr">
        <is>
          <t>Not estimated</t>
        </is>
      </c>
      <c r="H9" s="21" t="inlineStr">
        <is>
          <t>Not estimated</t>
        </is>
      </c>
      <c r="I9" s="23">
        <f>IF(ISNUMBER(BPM_TRUTH!B9),BPM_TRUTH!B9,"UNKNOWN")</f>
        <v/>
      </c>
      <c r="J9" s="24" t="n">
        <v>99</v>
      </c>
      <c r="K9" s="21" t="n">
        <v>99</v>
      </c>
      <c r="L9" s="21" t="n">
        <v>99</v>
      </c>
      <c r="M9" s="21" t="n">
        <v>99</v>
      </c>
      <c r="N9" s="23">
        <f>IF(OR(METER_TRUTH!B9="",LEFT(METER_TRUTH!B9,7)="UNKNOWN"),"UNKNOWN",METER_TRUTH!B9)</f>
        <v/>
      </c>
      <c r="O9" s="27" t="inlineStr">
        <is>
          <t>4/3</t>
        </is>
      </c>
      <c r="P9" s="21" t="inlineStr">
        <is>
          <t>Not Shown</t>
        </is>
      </c>
      <c r="Q9" s="21" t="inlineStr">
        <is>
          <t>Not estimated</t>
        </is>
      </c>
      <c r="R9" s="21" t="inlineStr">
        <is>
          <t>2/4</t>
        </is>
      </c>
      <c r="S9" s="23" t="inlineStr">
        <is>
          <t>E Major</t>
        </is>
      </c>
      <c r="T9" s="21" t="inlineStr">
        <is>
          <t>E Major</t>
        </is>
      </c>
      <c r="U9" s="21" t="inlineStr">
        <is>
          <t>E Major</t>
        </is>
      </c>
      <c r="V9" s="21" t="inlineStr">
        <is>
          <t>E Major</t>
        </is>
      </c>
      <c r="W9" s="21" t="inlineStr">
        <is>
          <t>E Major</t>
        </is>
      </c>
      <c r="X9" s="21" t="inlineStr">
        <is>
          <t>EADGBE</t>
        </is>
      </c>
      <c r="Y9" s="21" t="inlineStr">
        <is>
          <t>EADGBE</t>
        </is>
      </c>
      <c r="Z9" s="21" t="inlineStr">
        <is>
          <t>Not detected</t>
        </is>
      </c>
      <c r="AA9" s="21" t="inlineStr">
        <is>
          <t>Not detected (audio +10 cents vs A440)</t>
        </is>
      </c>
      <c r="AB9" s="21" t="n"/>
      <c r="AC9" s="21" t="inlineStr">
        <is>
          <t>not shown</t>
        </is>
      </c>
      <c r="AD9" s="21" t="inlineStr">
        <is>
          <t>key strength 0.9; tempo conf 2.34</t>
        </is>
      </c>
      <c r="AE9" s="21" t="inlineStr">
        <is>
          <t>key votes 15/16 engines; tempo engines agreeing 4/4</t>
        </is>
      </c>
      <c r="AF9" s="21" t="inlineStr">
        <is>
          <t>Wilsify = old 'Wilsify said' run (capo 'none' recorded as 0). First chords as detected: E C#m F#m A F#m E B7 E Am7 E Fm F#m. Old 'Videos' sheet has Capo fret = 0 pre-filled; not treated as ground truth until you confirm.</t>
        </is>
      </c>
    </row>
    <row r="10" ht="43.2" customHeight="1">
      <c r="A10" s="21" t="inlineStr">
        <is>
          <t>TEST_009</t>
        </is>
      </c>
      <c r="B10" s="21" t="inlineStr">
        <is>
          <t>TEST_009.mp4</t>
        </is>
      </c>
      <c r="C10" s="22" t="n">
        <v>68.73</v>
      </c>
      <c r="D10" s="23" t="n">
        <v>0</v>
      </c>
      <c r="E10" s="21" t="n">
        <v>0</v>
      </c>
      <c r="F10" s="21" t="n">
        <v>0</v>
      </c>
      <c r="G10" s="21" t="inlineStr">
        <is>
          <t>Not estimated</t>
        </is>
      </c>
      <c r="H10" s="21" t="inlineStr">
        <is>
          <t>Not estimated</t>
        </is>
      </c>
      <c r="I10" s="23">
        <f>IF(ISNUMBER(BPM_TRUTH!B10),BPM_TRUTH!B10,"UNKNOWN")</f>
        <v/>
      </c>
      <c r="J10" s="21" t="n">
        <v>104</v>
      </c>
      <c r="K10" s="21" t="n">
        <v>104</v>
      </c>
      <c r="L10" s="21" t="n">
        <v>104</v>
      </c>
      <c r="M10" s="21" t="n">
        <v>120</v>
      </c>
      <c r="N10" s="23">
        <f>IF(OR(METER_TRUTH!B10="",LEFT(METER_TRUTH!B10,7)="UNKNOWN"),"UNKNOWN",METER_TRUTH!B10)</f>
        <v/>
      </c>
      <c r="O10" s="27" t="inlineStr">
        <is>
          <t>4/4</t>
        </is>
      </c>
      <c r="P10" s="21" t="inlineStr">
        <is>
          <t>Not Shown</t>
        </is>
      </c>
      <c r="Q10" s="21" t="inlineStr">
        <is>
          <t>Not estimated</t>
        </is>
      </c>
      <c r="R10" s="21" t="inlineStr">
        <is>
          <t>4/4</t>
        </is>
      </c>
      <c r="S10" s="23" t="inlineStr">
        <is>
          <t>Dm</t>
        </is>
      </c>
      <c r="T10" s="21" t="inlineStr">
        <is>
          <t>Dm</t>
        </is>
      </c>
      <c r="U10" s="21" t="inlineStr">
        <is>
          <t>Dm</t>
        </is>
      </c>
      <c r="V10" s="21" t="inlineStr">
        <is>
          <t>D Minor</t>
        </is>
      </c>
      <c r="W10" s="21" t="inlineStr">
        <is>
          <t>D Minor</t>
        </is>
      </c>
      <c r="X10" s="21" t="inlineStr">
        <is>
          <t>EADGBE</t>
        </is>
      </c>
      <c r="Y10" s="21" t="inlineStr">
        <is>
          <t>EADGBE</t>
        </is>
      </c>
      <c r="Z10" s="21" t="inlineStr">
        <is>
          <t>Not detected</t>
        </is>
      </c>
      <c r="AA10" s="21" t="inlineStr">
        <is>
          <t>Not detected (audio -0 cents vs A440)</t>
        </is>
      </c>
      <c r="AB10" s="21" t="n"/>
      <c r="AC10" s="21" t="inlineStr">
        <is>
          <t>not shown</t>
        </is>
      </c>
      <c r="AD10" s="21" t="inlineStr">
        <is>
          <t>key strength 0.95; tempo conf 3.36</t>
        </is>
      </c>
      <c r="AE10" s="21" t="inlineStr">
        <is>
          <t>key votes 15/16 engines; tempo engines agreeing 0/4</t>
        </is>
      </c>
      <c r="AF10" s="21" t="inlineStr">
        <is>
          <t>Wilsify = old 'Wilsify said' run (capo 'none' recorded as 0). First chords as detected: n/a. Old 'Videos' sheet has Capo fret = 0 pre-filled; not treated as ground truth until you confirm.</t>
        </is>
      </c>
    </row>
    <row r="11" ht="43.2" customHeight="1">
      <c r="A11" s="21" t="inlineStr">
        <is>
          <t>TEST_010</t>
        </is>
      </c>
      <c r="B11" s="21" t="inlineStr">
        <is>
          <t>TEST_010.mp4</t>
        </is>
      </c>
      <c r="C11" s="22" t="n">
        <v>76.66</v>
      </c>
      <c r="D11" s="23" t="n">
        <v>0</v>
      </c>
      <c r="E11" s="21" t="n">
        <v>0</v>
      </c>
      <c r="F11" s="21" t="n">
        <v>0</v>
      </c>
      <c r="G11" s="21" t="inlineStr">
        <is>
          <t>Not estimated</t>
        </is>
      </c>
      <c r="H11" s="21" t="inlineStr">
        <is>
          <t>Not estimated</t>
        </is>
      </c>
      <c r="I11" s="23">
        <f>IF(ISNUMBER(BPM_TRUTH!B11),BPM_TRUTH!B11,"UNKNOWN")</f>
        <v/>
      </c>
      <c r="J11" s="24" t="n">
        <v>113</v>
      </c>
      <c r="K11" s="21" t="n">
        <v>112</v>
      </c>
      <c r="L11" s="21" t="n">
        <v>112</v>
      </c>
      <c r="M11" s="21" t="n">
        <v>112</v>
      </c>
      <c r="N11" s="23">
        <f>IF(OR(METER_TRUTH!B11="",LEFT(METER_TRUTH!B11,7)="UNKNOWN"),"UNKNOWN",METER_TRUTH!B11)</f>
        <v/>
      </c>
      <c r="O11" s="27" t="inlineStr">
        <is>
          <t>4/4</t>
        </is>
      </c>
      <c r="P11" s="21" t="inlineStr">
        <is>
          <t>Not Shown</t>
        </is>
      </c>
      <c r="Q11" s="21" t="inlineStr">
        <is>
          <t>Not estimated</t>
        </is>
      </c>
      <c r="R11" s="21" t="inlineStr">
        <is>
          <t>6/8</t>
        </is>
      </c>
      <c r="S11" s="23" t="inlineStr">
        <is>
          <t>Gb Major, F, A</t>
        </is>
      </c>
      <c r="T11" s="21" t="inlineStr">
        <is>
          <t>Gb Major</t>
        </is>
      </c>
      <c r="U11" s="21" t="inlineStr">
        <is>
          <t>B, Bb</t>
        </is>
      </c>
      <c r="V11" s="21" t="inlineStr">
        <is>
          <t>B Minor</t>
        </is>
      </c>
      <c r="W11" s="21" t="inlineStr">
        <is>
          <t>B Minor</t>
        </is>
      </c>
      <c r="X11" s="21" t="inlineStr">
        <is>
          <t>EADGBE</t>
        </is>
      </c>
      <c r="Y11" s="21" t="inlineStr">
        <is>
          <t>EADGBE</t>
        </is>
      </c>
      <c r="Z11" s="21" t="inlineStr">
        <is>
          <t>Not detected</t>
        </is>
      </c>
      <c r="AA11" s="21" t="inlineStr">
        <is>
          <t>Not detected (audio -0 cents vs A440)</t>
        </is>
      </c>
      <c r="AB11" s="21" t="n"/>
      <c r="AC11" s="21" t="inlineStr">
        <is>
          <t>not shown</t>
        </is>
      </c>
      <c r="AD11" s="21" t="inlineStr">
        <is>
          <t>key strength 0.66; tempo conf 0.85</t>
        </is>
      </c>
      <c r="AE11" s="21" t="inlineStr">
        <is>
          <t>key votes 13/16 engines; tempo engines agreeing 4/4</t>
        </is>
      </c>
      <c r="AF11" s="21" t="inlineStr">
        <is>
          <t>Wilsify = old 'Wilsify said' run (capo 'none' recorded as 0). First chords as detected: B C# G#m7 F# B G#m C# F# C# G#m7 C# F#. Old 'Videos' sheet has Capo fret = 0 pre-filled; not treated as ground truth until you confirm.</t>
        </is>
      </c>
    </row>
    <row r="12" ht="43.2" customHeight="1">
      <c r="A12" s="21" t="inlineStr">
        <is>
          <t>TEST_011</t>
        </is>
      </c>
      <c r="B12" s="21" t="inlineStr">
        <is>
          <t>TEST_011.mp4</t>
        </is>
      </c>
      <c r="C12" s="22" t="n">
        <v>97.23999999999999</v>
      </c>
      <c r="D12" s="23" t="n">
        <v>0</v>
      </c>
      <c r="E12" s="21" t="n">
        <v>0</v>
      </c>
      <c r="F12" s="21" t="n">
        <v>0</v>
      </c>
      <c r="G12" s="21" t="inlineStr">
        <is>
          <t>Not estimated</t>
        </is>
      </c>
      <c r="H12" s="21" t="inlineStr">
        <is>
          <t>Not estimated</t>
        </is>
      </c>
      <c r="I12" s="23">
        <f>IF(ISNUMBER(BPM_TRUTH!B12),BPM_TRUTH!B12,"UNKNOWN")</f>
        <v/>
      </c>
      <c r="J12" s="24" t="n">
        <v>122</v>
      </c>
      <c r="K12" s="21" t="n">
        <v>123</v>
      </c>
      <c r="L12" s="21" t="n">
        <v>122</v>
      </c>
      <c r="M12" s="21" t="n">
        <v>123</v>
      </c>
      <c r="N12" s="23">
        <f>IF(OR(METER_TRUTH!B12="",LEFT(METER_TRUTH!B12,7)="UNKNOWN"),"UNKNOWN",METER_TRUTH!B12)</f>
        <v/>
      </c>
      <c r="O12" s="27" t="inlineStr">
        <is>
          <t>4/4</t>
        </is>
      </c>
      <c r="P12" s="21" t="inlineStr">
        <is>
          <t>Not Shown</t>
        </is>
      </c>
      <c r="Q12" s="21" t="inlineStr">
        <is>
          <t>Not estimated</t>
        </is>
      </c>
      <c r="R12" s="21" t="inlineStr">
        <is>
          <t>AMBIGUOUS</t>
        </is>
      </c>
      <c r="S12" s="23" t="inlineStr">
        <is>
          <t>G Major, E Major</t>
        </is>
      </c>
      <c r="T12" s="21" t="inlineStr">
        <is>
          <t>B Major</t>
        </is>
      </c>
      <c r="U12" s="21" t="inlineStr">
        <is>
          <t>G Major, E Major</t>
        </is>
      </c>
      <c r="V12" s="21" t="inlineStr">
        <is>
          <t>E Major</t>
        </is>
      </c>
      <c r="W12" s="21" t="inlineStr">
        <is>
          <t>E Major</t>
        </is>
      </c>
      <c r="X12" s="21" t="inlineStr">
        <is>
          <t>EADGBE</t>
        </is>
      </c>
      <c r="Y12" s="21" t="inlineStr">
        <is>
          <t>EADGBE</t>
        </is>
      </c>
      <c r="Z12" s="21" t="inlineStr">
        <is>
          <t>Not detected</t>
        </is>
      </c>
      <c r="AA12" s="21" t="inlineStr">
        <is>
          <t>Not detected (audio -0 cents vs A440)</t>
        </is>
      </c>
      <c r="AB12" s="21" t="n"/>
      <c r="AC12" s="21" t="inlineStr">
        <is>
          <t>not shown</t>
        </is>
      </c>
      <c r="AD12" s="21" t="inlineStr">
        <is>
          <t>key strength 0.83; tempo conf 3.22</t>
        </is>
      </c>
      <c r="AE12" s="21" t="inlineStr">
        <is>
          <t>key votes 11/16 engines; tempo engines agreeing 4/4</t>
        </is>
      </c>
      <c r="AF12" s="21" t="inlineStr">
        <is>
          <t>Wilsify = old 'Wilsify said' run (capo 'none' recorded as 0). First chords as detected: D7 E B Em E C#m D7 B D#m F#7 E F#7. Old 'Videos' sheet has Capo fret = 0 pre-filled; not treated as ground truth until you confirm.</t>
        </is>
      </c>
    </row>
    <row r="13" ht="43.2" customHeight="1">
      <c r="A13" s="21" t="inlineStr">
        <is>
          <t>TEST_012</t>
        </is>
      </c>
      <c r="B13" s="21" t="inlineStr">
        <is>
          <t>TEST_012.mp4</t>
        </is>
      </c>
      <c r="C13" s="22" t="n">
        <v>41.1</v>
      </c>
      <c r="D13" s="23" t="n">
        <v>0</v>
      </c>
      <c r="E13" s="21" t="n">
        <v>0</v>
      </c>
      <c r="F13" s="21" t="n">
        <v>0</v>
      </c>
      <c r="G13" s="21" t="inlineStr">
        <is>
          <t>Not estimated</t>
        </is>
      </c>
      <c r="H13" s="21" t="inlineStr">
        <is>
          <t>Not estimated</t>
        </is>
      </c>
      <c r="I13" s="23">
        <f>IF(ISNUMBER(BPM_TRUTH!B13),BPM_TRUTH!B13,"UNKNOWN")</f>
        <v/>
      </c>
      <c r="J13" s="24" t="n">
        <v>87</v>
      </c>
      <c r="K13" s="21" t="n">
        <v>67</v>
      </c>
      <c r="L13" s="21" t="n">
        <v>120</v>
      </c>
      <c r="M13" s="21" t="n">
        <v>117</v>
      </c>
      <c r="N13" s="23">
        <f>IF(OR(METER_TRUTH!B13="",LEFT(METER_TRUTH!B13,7)="UNKNOWN"),"UNKNOWN",METER_TRUTH!B13)</f>
        <v/>
      </c>
      <c r="O13" s="27" t="inlineStr">
        <is>
          <t>4/3</t>
        </is>
      </c>
      <c r="P13" s="21" t="inlineStr">
        <is>
          <t>Not Shown</t>
        </is>
      </c>
      <c r="Q13" s="21" t="inlineStr">
        <is>
          <t>Not estimated</t>
        </is>
      </c>
      <c r="R13" s="21" t="inlineStr">
        <is>
          <t>AMBIGUOUS</t>
        </is>
      </c>
      <c r="S13" s="23" t="inlineStr">
        <is>
          <t>G# Minor</t>
        </is>
      </c>
      <c r="T13" s="21" t="inlineStr">
        <is>
          <t>G# Minor</t>
        </is>
      </c>
      <c r="U13" s="21" t="inlineStr">
        <is>
          <t>B Major</t>
        </is>
      </c>
      <c r="V13" s="21" t="inlineStr">
        <is>
          <t>Ab Minor</t>
        </is>
      </c>
      <c r="W13" s="21" t="inlineStr">
        <is>
          <t>G# Minor</t>
        </is>
      </c>
      <c r="X13" s="21" t="inlineStr">
        <is>
          <t>EADGBE</t>
        </is>
      </c>
      <c r="Y13" s="21" t="inlineStr">
        <is>
          <t>EADGBE</t>
        </is>
      </c>
      <c r="Z13" s="21" t="inlineStr">
        <is>
          <t>Not detected</t>
        </is>
      </c>
      <c r="AA13" s="21" t="inlineStr">
        <is>
          <t>Not detected (audio -5 cents vs A440)</t>
        </is>
      </c>
      <c r="AB13" s="21" t="n"/>
      <c r="AC13" s="21" t="inlineStr">
        <is>
          <t>not shown</t>
        </is>
      </c>
      <c r="AD13" s="21" t="inlineStr">
        <is>
          <t>key strength 0.86; tempo conf 0.42</t>
        </is>
      </c>
      <c r="AE13" s="21" t="inlineStr">
        <is>
          <t>key votes 16/16 engines; tempo engines agreeing 3/4</t>
        </is>
      </c>
      <c r="AF13" s="21" t="inlineStr">
        <is>
          <t>Wilsify = old 'Wilsify said' run (capo 'none' recorded as 0). First chords as detected: G#m F# C#m D# G#m C#m A D#m7 D# G#m F# C#m. Old 'Videos' sheet has Capo fret = 0 pre-filled; not treated as ground truth until you confirm.</t>
        </is>
      </c>
    </row>
    <row r="14" ht="28.8" customHeight="1">
      <c r="A14" s="21" t="inlineStr">
        <is>
          <t>TEST_013</t>
        </is>
      </c>
      <c r="B14" s="21" t="inlineStr">
        <is>
          <t>TEST_013.mp4</t>
        </is>
      </c>
      <c r="C14" s="22" t="n">
        <v>78.03</v>
      </c>
      <c r="D14" s="23" t="n">
        <v>0</v>
      </c>
      <c r="E14" s="21" t="n">
        <v>0</v>
      </c>
      <c r="F14" s="21" t="n">
        <v>0</v>
      </c>
      <c r="G14" s="21" t="inlineStr">
        <is>
          <t>Not estimated</t>
        </is>
      </c>
      <c r="H14" s="21" t="inlineStr">
        <is>
          <t>Not estimated</t>
        </is>
      </c>
      <c r="I14" s="23">
        <f>IF(ISNUMBER(BPM_TRUTH!B14),BPM_TRUTH!B14,"UNKNOWN")</f>
        <v/>
      </c>
      <c r="J14" s="21" t="n">
        <v>103</v>
      </c>
      <c r="K14" s="21" t="n">
        <v>103</v>
      </c>
      <c r="L14" s="21" t="n">
        <v>103</v>
      </c>
      <c r="M14" s="21" t="n">
        <v>103</v>
      </c>
      <c r="N14" s="23">
        <f>IF(OR(METER_TRUTH!B14="",LEFT(METER_TRUTH!B14,7)="UNKNOWN"),"UNKNOWN",METER_TRUTH!B14)</f>
        <v/>
      </c>
      <c r="O14" s="27" t="inlineStr">
        <is>
          <t>4/4</t>
        </is>
      </c>
      <c r="P14" s="21" t="inlineStr">
        <is>
          <t>Not Shown</t>
        </is>
      </c>
      <c r="Q14" s="21" t="inlineStr">
        <is>
          <t>Not estimated</t>
        </is>
      </c>
      <c r="R14" s="21" t="inlineStr">
        <is>
          <t>2/4</t>
        </is>
      </c>
      <c r="S14" s="23" t="inlineStr">
        <is>
          <t>C Major</t>
        </is>
      </c>
      <c r="T14" s="21" t="inlineStr">
        <is>
          <t>C Major</t>
        </is>
      </c>
      <c r="U14" s="21" t="inlineStr">
        <is>
          <t>C Major</t>
        </is>
      </c>
      <c r="V14" s="21" t="inlineStr">
        <is>
          <t>C Major</t>
        </is>
      </c>
      <c r="W14" s="21" t="inlineStr">
        <is>
          <t>C Major</t>
        </is>
      </c>
      <c r="X14" s="21" t="inlineStr">
        <is>
          <t>EADGBE</t>
        </is>
      </c>
      <c r="Y14" s="21" t="inlineStr">
        <is>
          <t>EADGBE</t>
        </is>
      </c>
      <c r="Z14" s="21" t="inlineStr">
        <is>
          <t>Not detected</t>
        </is>
      </c>
      <c r="AA14" s="21" t="inlineStr">
        <is>
          <t>Not detected (audio -0 cents vs A440)</t>
        </is>
      </c>
      <c r="AB14" s="21" t="n"/>
      <c r="AC14" s="21" t="inlineStr">
        <is>
          <t>not shown</t>
        </is>
      </c>
      <c r="AD14" s="21" t="inlineStr">
        <is>
          <t>key strength 0.96; tempo conf 0.17</t>
        </is>
      </c>
      <c r="AE14" s="21" t="inlineStr">
        <is>
          <t>key votes 16/16 engines; tempo engines agreeing 4/4</t>
        </is>
      </c>
      <c r="AF14" s="21" t="n"/>
    </row>
    <row r="15" ht="28.8" customHeight="1">
      <c r="A15" s="21" t="inlineStr">
        <is>
          <t>TEST_014</t>
        </is>
      </c>
      <c r="B15" s="21" t="inlineStr">
        <is>
          <t>TEST_014.mp4</t>
        </is>
      </c>
      <c r="C15" s="22" t="n">
        <v>43.58</v>
      </c>
      <c r="D15" s="23" t="n">
        <v>0</v>
      </c>
      <c r="E15" s="21" t="n">
        <v>0</v>
      </c>
      <c r="F15" s="21" t="n">
        <v>0</v>
      </c>
      <c r="G15" s="21" t="inlineStr">
        <is>
          <t>Not estimated</t>
        </is>
      </c>
      <c r="H15" s="21" t="inlineStr">
        <is>
          <t>Not estimated</t>
        </is>
      </c>
      <c r="I15" s="23">
        <f>IF(ISNUMBER(BPM_TRUTH!B15),BPM_TRUTH!B15,"UNKNOWN")</f>
        <v/>
      </c>
      <c r="J15" s="21" t="n">
        <v>99</v>
      </c>
      <c r="K15" s="21" t="n">
        <v>99</v>
      </c>
      <c r="L15" s="21" t="n">
        <v>100</v>
      </c>
      <c r="M15" s="21" t="n">
        <v>100</v>
      </c>
      <c r="N15" s="23">
        <f>IF(OR(METER_TRUTH!B15="",LEFT(METER_TRUTH!B15,7)="UNKNOWN"),"UNKNOWN",METER_TRUTH!B15)</f>
        <v/>
      </c>
      <c r="O15" s="27" t="inlineStr">
        <is>
          <t>4/4</t>
        </is>
      </c>
      <c r="P15" s="21" t="inlineStr">
        <is>
          <t>Not Shown</t>
        </is>
      </c>
      <c r="Q15" s="21" t="inlineStr">
        <is>
          <t>Not estimated</t>
        </is>
      </c>
      <c r="R15" s="21" t="inlineStr">
        <is>
          <t>2/4</t>
        </is>
      </c>
      <c r="S15" s="23" t="inlineStr">
        <is>
          <t>Cm</t>
        </is>
      </c>
      <c r="T15" s="21" t="inlineStr">
        <is>
          <t>Cm</t>
        </is>
      </c>
      <c r="U15" s="21" t="inlineStr">
        <is>
          <t>Cm</t>
        </is>
      </c>
      <c r="V15" s="21" t="inlineStr">
        <is>
          <t>Eb Major</t>
        </is>
      </c>
      <c r="W15" s="21" t="inlineStr">
        <is>
          <t>D# Major</t>
        </is>
      </c>
      <c r="X15" s="21" t="inlineStr">
        <is>
          <t>EADGBE</t>
        </is>
      </c>
      <c r="Y15" s="21" t="inlineStr">
        <is>
          <t>EADGBE</t>
        </is>
      </c>
      <c r="Z15" s="21" t="inlineStr">
        <is>
          <t>Not detected</t>
        </is>
      </c>
      <c r="AA15" s="21" t="inlineStr">
        <is>
          <t>Not detected (audio -5 cents vs A440)</t>
        </is>
      </c>
      <c r="AB15" s="21" t="n"/>
      <c r="AC15" s="21" t="inlineStr">
        <is>
          <t>not shown</t>
        </is>
      </c>
      <c r="AD15" s="21" t="inlineStr">
        <is>
          <t>key strength 0.85; tempo conf 1.26</t>
        </is>
      </c>
      <c r="AE15" s="21" t="inlineStr">
        <is>
          <t>key votes 14/16 engines; tempo engines agreeing 4/4</t>
        </is>
      </c>
      <c r="AF15" s="21" t="n"/>
    </row>
    <row r="16" ht="28.8" customHeight="1">
      <c r="A16" s="21" t="inlineStr">
        <is>
          <t>TEST_015</t>
        </is>
      </c>
      <c r="B16" s="21" t="inlineStr">
        <is>
          <t>TEST_015.mp4</t>
        </is>
      </c>
      <c r="C16" s="22" t="n">
        <v>29.04</v>
      </c>
      <c r="D16" s="23" t="n">
        <v>0</v>
      </c>
      <c r="E16" s="21" t="n">
        <v>0</v>
      </c>
      <c r="F16" s="21" t="n">
        <v>0</v>
      </c>
      <c r="G16" s="21" t="inlineStr">
        <is>
          <t>Not estimated</t>
        </is>
      </c>
      <c r="H16" s="21" t="inlineStr">
        <is>
          <t>Not estimated</t>
        </is>
      </c>
      <c r="I16" s="23">
        <f>IF(ISNUMBER(BPM_TRUTH!B16),BPM_TRUTH!B16,"UNKNOWN")</f>
        <v/>
      </c>
      <c r="J16" s="21" t="n">
        <v>114</v>
      </c>
      <c r="K16" s="21" t="n">
        <v>115</v>
      </c>
      <c r="L16" s="21" t="n">
        <v>112</v>
      </c>
      <c r="M16" s="21" t="n">
        <v>112</v>
      </c>
      <c r="N16" s="23">
        <f>IF(OR(METER_TRUTH!B16="",LEFT(METER_TRUTH!B16,7)="UNKNOWN"),"UNKNOWN",METER_TRUTH!B16)</f>
        <v/>
      </c>
      <c r="O16" s="27" t="inlineStr">
        <is>
          <t>4/4</t>
        </is>
      </c>
      <c r="P16" s="21" t="inlineStr">
        <is>
          <t>Not Shown</t>
        </is>
      </c>
      <c r="Q16" s="21" t="inlineStr">
        <is>
          <t>Not estimated</t>
        </is>
      </c>
      <c r="R16" s="21" t="inlineStr">
        <is>
          <t>AMBIGUOUS</t>
        </is>
      </c>
      <c r="S16" s="23" t="inlineStr">
        <is>
          <t>C Major</t>
        </is>
      </c>
      <c r="T16" s="21" t="inlineStr">
        <is>
          <t>C Major</t>
        </is>
      </c>
      <c r="U16" s="21" t="inlineStr">
        <is>
          <t>C Major</t>
        </is>
      </c>
      <c r="V16" s="21" t="inlineStr">
        <is>
          <t>C Major</t>
        </is>
      </c>
      <c r="W16" s="21" t="inlineStr">
        <is>
          <t>C Major</t>
        </is>
      </c>
      <c r="X16" s="21" t="inlineStr">
        <is>
          <t>EADGBE</t>
        </is>
      </c>
      <c r="Y16" s="21" t="inlineStr">
        <is>
          <t>EADGBE</t>
        </is>
      </c>
      <c r="Z16" s="21" t="inlineStr">
        <is>
          <t>Not detected</t>
        </is>
      </c>
      <c r="AA16" s="21" t="inlineStr">
        <is>
          <t>Not detected (audio -0 cents vs A440)</t>
        </is>
      </c>
      <c r="AB16" s="21" t="n"/>
      <c r="AC16" s="21" t="inlineStr">
        <is>
          <t>not shown</t>
        </is>
      </c>
      <c r="AD16" s="21" t="inlineStr">
        <is>
          <t>key strength 0.89; tempo conf 1.93</t>
        </is>
      </c>
      <c r="AE16" s="21" t="inlineStr">
        <is>
          <t>key votes 15/16 engines; tempo engines agreeing 4/4</t>
        </is>
      </c>
      <c r="AF16" s="21" t="n"/>
    </row>
    <row r="17" ht="28.8" customHeight="1">
      <c r="A17" s="21" t="inlineStr">
        <is>
          <t>TEST_016</t>
        </is>
      </c>
      <c r="B17" s="21" t="inlineStr">
        <is>
          <t>TEST_016.mp4</t>
        </is>
      </c>
      <c r="C17" s="22" t="n">
        <v>72.45</v>
      </c>
      <c r="D17" s="23" t="n">
        <v>0</v>
      </c>
      <c r="E17" s="21" t="n">
        <v>0</v>
      </c>
      <c r="F17" s="21" t="n">
        <v>0</v>
      </c>
      <c r="G17" s="21" t="inlineStr">
        <is>
          <t>Not estimated</t>
        </is>
      </c>
      <c r="H17" s="21" t="inlineStr">
        <is>
          <t>Not estimated</t>
        </is>
      </c>
      <c r="I17" s="23">
        <f>IF(ISNUMBER(BPM_TRUTH!B17),BPM_TRUTH!B17,"UNKNOWN")</f>
        <v/>
      </c>
      <c r="J17" s="21" t="n">
        <v>145</v>
      </c>
      <c r="K17" s="21" t="n">
        <v>122</v>
      </c>
      <c r="L17" s="21" t="n">
        <v>126</v>
      </c>
      <c r="M17" s="21" t="n">
        <v>124</v>
      </c>
      <c r="N17" s="23">
        <f>IF(OR(METER_TRUTH!B17="",LEFT(METER_TRUTH!B17,7)="UNKNOWN"),"UNKNOWN",METER_TRUTH!B17)</f>
        <v/>
      </c>
      <c r="O17" s="27" t="inlineStr">
        <is>
          <t>4/4</t>
        </is>
      </c>
      <c r="P17" s="21" t="inlineStr">
        <is>
          <t>Not Shown</t>
        </is>
      </c>
      <c r="Q17" s="21" t="inlineStr">
        <is>
          <t>Not estimated</t>
        </is>
      </c>
      <c r="R17" s="21" t="inlineStr">
        <is>
          <t>4/4</t>
        </is>
      </c>
      <c r="S17" s="23" t="inlineStr">
        <is>
          <t>Am</t>
        </is>
      </c>
      <c r="T17" s="21" t="inlineStr">
        <is>
          <t>E Major</t>
        </is>
      </c>
      <c r="U17" s="21" t="inlineStr">
        <is>
          <t>C Major</t>
        </is>
      </c>
      <c r="V17" s="21" t="inlineStr">
        <is>
          <t>A Minor</t>
        </is>
      </c>
      <c r="W17" s="21" t="inlineStr">
        <is>
          <t>A Minor</t>
        </is>
      </c>
      <c r="X17" s="21" t="inlineStr">
        <is>
          <t>EADGBE</t>
        </is>
      </c>
      <c r="Y17" s="21" t="inlineStr">
        <is>
          <t>EADGBE</t>
        </is>
      </c>
      <c r="Z17" s="21" t="inlineStr">
        <is>
          <t>Not detected</t>
        </is>
      </c>
      <c r="AA17" s="21" t="inlineStr">
        <is>
          <t>Not detected (audio -0 cents vs A440)</t>
        </is>
      </c>
      <c r="AB17" s="21" t="n"/>
      <c r="AC17" s="21" t="inlineStr">
        <is>
          <t>not shown</t>
        </is>
      </c>
      <c r="AD17" s="21" t="inlineStr">
        <is>
          <t>key strength 0.85; tempo conf 0.19</t>
        </is>
      </c>
      <c r="AE17" s="21" t="inlineStr">
        <is>
          <t>key votes 12/16 engines; tempo engines agreeing 4/4</t>
        </is>
      </c>
      <c r="AF17" s="21" t="n"/>
    </row>
    <row r="18" ht="28.8" customHeight="1">
      <c r="A18" s="21" t="inlineStr">
        <is>
          <t>TEST_017</t>
        </is>
      </c>
      <c r="B18" s="21" t="inlineStr">
        <is>
          <t>TEST_017.mp4</t>
        </is>
      </c>
      <c r="C18" s="22" t="n">
        <v>133.68</v>
      </c>
      <c r="D18" s="23" t="n">
        <v>0</v>
      </c>
      <c r="E18" s="21" t="n">
        <v>0</v>
      </c>
      <c r="F18" s="21" t="n">
        <v>0</v>
      </c>
      <c r="G18" s="21" t="inlineStr">
        <is>
          <t>Not estimated</t>
        </is>
      </c>
      <c r="H18" s="21" t="inlineStr">
        <is>
          <t>Not estimated</t>
        </is>
      </c>
      <c r="I18" s="23">
        <f>IF(ISNUMBER(BPM_TRUTH!B18),BPM_TRUTH!B18,"UNKNOWN")</f>
        <v/>
      </c>
      <c r="J18" s="21" t="n">
        <v>110</v>
      </c>
      <c r="K18" s="21" t="n">
        <v>73</v>
      </c>
      <c r="L18" s="21" t="n">
        <v>111</v>
      </c>
      <c r="M18" s="21" t="n">
        <v>117</v>
      </c>
      <c r="N18" s="23">
        <f>IF(OR(METER_TRUTH!B18="",LEFT(METER_TRUTH!B18,7)="UNKNOWN"),"UNKNOWN",METER_TRUTH!B18)</f>
        <v/>
      </c>
      <c r="O18" s="27" t="inlineStr">
        <is>
          <t>4/4</t>
        </is>
      </c>
      <c r="P18" s="21" t="inlineStr">
        <is>
          <t>Not Shown</t>
        </is>
      </c>
      <c r="Q18" s="21" t="inlineStr">
        <is>
          <t>Not estimated</t>
        </is>
      </c>
      <c r="R18" s="21" t="inlineStr">
        <is>
          <t>3/4</t>
        </is>
      </c>
      <c r="S18" s="23" t="inlineStr">
        <is>
          <t>D Major</t>
        </is>
      </c>
      <c r="T18" s="21" t="inlineStr">
        <is>
          <t>D Major</t>
        </is>
      </c>
      <c r="U18" s="21" t="inlineStr">
        <is>
          <t>D Major</t>
        </is>
      </c>
      <c r="V18" s="21" t="inlineStr">
        <is>
          <t>D Major</t>
        </is>
      </c>
      <c r="W18" s="21" t="inlineStr">
        <is>
          <t>D Major</t>
        </is>
      </c>
      <c r="X18" s="21" t="inlineStr">
        <is>
          <t>EADGBE</t>
        </is>
      </c>
      <c r="Y18" s="21" t="inlineStr">
        <is>
          <t>EADGBE</t>
        </is>
      </c>
      <c r="Z18" s="21" t="inlineStr">
        <is>
          <t>Not detected</t>
        </is>
      </c>
      <c r="AA18" s="21" t="inlineStr">
        <is>
          <t>Not detected (audio -5 cents vs A440)</t>
        </is>
      </c>
      <c r="AB18" s="21" t="n"/>
      <c r="AC18" s="21" t="inlineStr">
        <is>
          <t>not shown</t>
        </is>
      </c>
      <c r="AD18" s="21" t="inlineStr">
        <is>
          <t>key strength 0.96; tempo conf -0.12</t>
        </is>
      </c>
      <c r="AE18" s="21" t="inlineStr">
        <is>
          <t>key votes 16/16 engines; tempo engines agreeing 0/4</t>
        </is>
      </c>
      <c r="AF18" s="21" t="n"/>
    </row>
    <row r="19" ht="28.8" customHeight="1">
      <c r="A19" s="21" t="inlineStr">
        <is>
          <t>TEST_018</t>
        </is>
      </c>
      <c r="B19" s="21" t="inlineStr">
        <is>
          <t>TEST_018.mp4</t>
        </is>
      </c>
      <c r="C19" s="22" t="n">
        <v>74</v>
      </c>
      <c r="D19" s="23" t="n">
        <v>0</v>
      </c>
      <c r="E19" s="21" t="n">
        <v>0</v>
      </c>
      <c r="F19" s="21" t="n">
        <v>0</v>
      </c>
      <c r="G19" s="21" t="inlineStr">
        <is>
          <t>Not estimated</t>
        </is>
      </c>
      <c r="H19" s="21" t="inlineStr">
        <is>
          <t>Not estimated</t>
        </is>
      </c>
      <c r="I19" s="23">
        <f>IF(ISNUMBER(BPM_TRUTH!B19),BPM_TRUTH!B19,"UNKNOWN")</f>
        <v/>
      </c>
      <c r="J19" s="21" t="n">
        <v>121</v>
      </c>
      <c r="K19" s="21" t="n">
        <v>121</v>
      </c>
      <c r="L19" s="21" t="n">
        <v>120</v>
      </c>
      <c r="M19" s="21" t="n">
        <v>122</v>
      </c>
      <c r="N19" s="23">
        <f>IF(OR(METER_TRUTH!B19="",LEFT(METER_TRUTH!B19,7)="UNKNOWN"),"UNKNOWN",METER_TRUTH!B19)</f>
        <v/>
      </c>
      <c r="O19" s="27" t="inlineStr">
        <is>
          <t>4/4</t>
        </is>
      </c>
      <c r="P19" s="21" t="inlineStr">
        <is>
          <t>Not Shown</t>
        </is>
      </c>
      <c r="Q19" s="21" t="inlineStr">
        <is>
          <t>Not estimated</t>
        </is>
      </c>
      <c r="R19" s="21" t="inlineStr">
        <is>
          <t>4/4</t>
        </is>
      </c>
      <c r="S19" s="23" t="inlineStr">
        <is>
          <t>G Major</t>
        </is>
      </c>
      <c r="T19" s="21" t="inlineStr">
        <is>
          <t>G Major</t>
        </is>
      </c>
      <c r="U19" s="21" t="inlineStr">
        <is>
          <t>G Major</t>
        </is>
      </c>
      <c r="V19" s="21" t="inlineStr">
        <is>
          <t>G Major</t>
        </is>
      </c>
      <c r="W19" s="21" t="inlineStr">
        <is>
          <t>G Major</t>
        </is>
      </c>
      <c r="X19" s="21" t="inlineStr">
        <is>
          <t>EADGBE</t>
        </is>
      </c>
      <c r="Y19" s="21" t="inlineStr">
        <is>
          <t>EADGBE</t>
        </is>
      </c>
      <c r="Z19" s="21" t="inlineStr">
        <is>
          <t>Not detected</t>
        </is>
      </c>
      <c r="AA19" s="21" t="inlineStr">
        <is>
          <t>Not detected (audio -10 cents vs A440)</t>
        </is>
      </c>
      <c r="AB19" s="21" t="n"/>
      <c r="AC19" s="21" t="inlineStr">
        <is>
          <t>not shown</t>
        </is>
      </c>
      <c r="AD19" s="21" t="inlineStr">
        <is>
          <t>key strength 0.94; tempo conf 1.11</t>
        </is>
      </c>
      <c r="AE19" s="21" t="inlineStr">
        <is>
          <t>key votes 15/16 engines; tempo engines agreeing 4/4</t>
        </is>
      </c>
      <c r="AF19" s="21" t="n"/>
    </row>
    <row r="20" ht="28.8" customHeight="1">
      <c r="A20" s="21" t="inlineStr">
        <is>
          <t>TEST_019</t>
        </is>
      </c>
      <c r="B20" s="21" t="inlineStr">
        <is>
          <t>TEST_019.mp4</t>
        </is>
      </c>
      <c r="C20" s="22" t="n">
        <v>83</v>
      </c>
      <c r="D20" s="23" t="n">
        <v>0</v>
      </c>
      <c r="E20" s="21" t="n">
        <v>0</v>
      </c>
      <c r="F20" s="21" t="n">
        <v>0</v>
      </c>
      <c r="G20" s="21" t="inlineStr">
        <is>
          <t>Not estimated</t>
        </is>
      </c>
      <c r="H20" s="21" t="inlineStr">
        <is>
          <t>Not estimated</t>
        </is>
      </c>
      <c r="I20" s="23">
        <f>IF(ISNUMBER(BPM_TRUTH!B20),BPM_TRUTH!B20,"UNKNOWN")</f>
        <v/>
      </c>
      <c r="J20" s="21" t="n">
        <v>120</v>
      </c>
      <c r="K20" s="21" t="n">
        <v>120</v>
      </c>
      <c r="L20" s="21" t="n">
        <v>119</v>
      </c>
      <c r="M20" s="21" t="n">
        <v>121</v>
      </c>
      <c r="N20" s="23">
        <f>IF(OR(METER_TRUTH!B20="",LEFT(METER_TRUTH!B20,7)="UNKNOWN"),"UNKNOWN",METER_TRUTH!B20)</f>
        <v/>
      </c>
      <c r="O20" s="27" t="inlineStr">
        <is>
          <t>4/4</t>
        </is>
      </c>
      <c r="P20" s="21" t="inlineStr">
        <is>
          <t>Not Shown</t>
        </is>
      </c>
      <c r="Q20" s="21" t="inlineStr">
        <is>
          <t>Not estimated</t>
        </is>
      </c>
      <c r="R20" s="21" t="inlineStr">
        <is>
          <t>9/8</t>
        </is>
      </c>
      <c r="S20" s="23" t="inlineStr">
        <is>
          <t>F Major</t>
        </is>
      </c>
      <c r="T20" s="21" t="inlineStr">
        <is>
          <t>F Major</t>
        </is>
      </c>
      <c r="U20" s="21" t="inlineStr">
        <is>
          <t>F Major</t>
        </is>
      </c>
      <c r="V20" s="21" t="inlineStr">
        <is>
          <t>F Major</t>
        </is>
      </c>
      <c r="W20" s="21" t="inlineStr">
        <is>
          <t>F Major</t>
        </is>
      </c>
      <c r="X20" s="21" t="inlineStr">
        <is>
          <t>EADGBE</t>
        </is>
      </c>
      <c r="Y20" s="21" t="inlineStr">
        <is>
          <t>EADGBE</t>
        </is>
      </c>
      <c r="Z20" s="21" t="inlineStr">
        <is>
          <t>Not detected</t>
        </is>
      </c>
      <c r="AA20" s="21" t="inlineStr">
        <is>
          <t>Not detected (audio +15 cents vs A440)</t>
        </is>
      </c>
      <c r="AB20" s="21" t="n"/>
      <c r="AC20" s="21" t="inlineStr">
        <is>
          <t>not shown</t>
        </is>
      </c>
      <c r="AD20" s="21" t="inlineStr">
        <is>
          <t>key strength 0.95; tempo conf 1.87</t>
        </is>
      </c>
      <c r="AE20" s="21" t="inlineStr">
        <is>
          <t>key votes 16/16 engines; tempo engines agreeing 4/4</t>
        </is>
      </c>
      <c r="AF20" s="21" t="n"/>
    </row>
    <row r="21" ht="28.8" customHeight="1">
      <c r="A21" s="21" t="inlineStr">
        <is>
          <t>TEST_020</t>
        </is>
      </c>
      <c r="B21" s="21" t="inlineStr">
        <is>
          <t>TEST_020.mp4</t>
        </is>
      </c>
      <c r="C21" s="22" t="n">
        <v>100.65</v>
      </c>
      <c r="D21" s="23" t="n">
        <v>0</v>
      </c>
      <c r="E21" s="21" t="n">
        <v>0</v>
      </c>
      <c r="F21" s="21" t="n">
        <v>0</v>
      </c>
      <c r="G21" s="21" t="inlineStr">
        <is>
          <t>Not estimated</t>
        </is>
      </c>
      <c r="H21" s="21" t="inlineStr">
        <is>
          <t>Not estimated</t>
        </is>
      </c>
      <c r="I21" s="23">
        <f>IF(ISNUMBER(BPM_TRUTH!B21),BPM_TRUTH!B21,"UNKNOWN")</f>
        <v/>
      </c>
      <c r="J21" s="21" t="n">
        <v>114</v>
      </c>
      <c r="K21" s="21" t="n">
        <v>109</v>
      </c>
      <c r="L21" s="21" t="n">
        <v>114</v>
      </c>
      <c r="M21" s="21" t="n">
        <v>112</v>
      </c>
      <c r="N21" s="23">
        <f>IF(OR(METER_TRUTH!B21="",LEFT(METER_TRUTH!B21,7)="UNKNOWN"),"UNKNOWN",METER_TRUTH!B21)</f>
        <v/>
      </c>
      <c r="O21" s="27" t="inlineStr">
        <is>
          <t>4/4</t>
        </is>
      </c>
      <c r="P21" s="21" t="inlineStr">
        <is>
          <t>Not Shown</t>
        </is>
      </c>
      <c r="Q21" s="21" t="inlineStr">
        <is>
          <t>Not estimated</t>
        </is>
      </c>
      <c r="R21" s="21" t="inlineStr">
        <is>
          <t>AMBIGUOUS</t>
        </is>
      </c>
      <c r="S21" s="23" t="inlineStr">
        <is>
          <t>E Major</t>
        </is>
      </c>
      <c r="T21" s="21" t="inlineStr">
        <is>
          <t>E Major</t>
        </is>
      </c>
      <c r="U21" s="21" t="inlineStr">
        <is>
          <t>C#m</t>
        </is>
      </c>
      <c r="V21" s="21" t="inlineStr">
        <is>
          <t>E Major</t>
        </is>
      </c>
      <c r="W21" s="21" t="inlineStr">
        <is>
          <t>E Major</t>
        </is>
      </c>
      <c r="X21" s="21" t="inlineStr">
        <is>
          <t>EADGBE</t>
        </is>
      </c>
      <c r="Y21" s="21" t="inlineStr">
        <is>
          <t>EADGBE</t>
        </is>
      </c>
      <c r="Z21" s="21" t="inlineStr">
        <is>
          <t>Not detected</t>
        </is>
      </c>
      <c r="AA21" s="21" t="inlineStr">
        <is>
          <t>Not detected (audio +5 cents vs A440)</t>
        </is>
      </c>
      <c r="AB21" s="21" t="n"/>
      <c r="AC21" s="21" t="inlineStr">
        <is>
          <t>not shown</t>
        </is>
      </c>
      <c r="AD21" s="21" t="inlineStr">
        <is>
          <t>key strength 0.81; tempo conf 0.38</t>
        </is>
      </c>
      <c r="AE21" s="21" t="inlineStr">
        <is>
          <t>key votes 16/16 engines; tempo engines agreeing 3/4</t>
        </is>
      </c>
      <c r="AF21" s="21" t="n"/>
    </row>
  </sheetData>
  <autoFilter ref="A1:A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xSplit="1" ySplit="1" topLeftCell="Y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12" customWidth="1" min="2" max="2"/>
    <col width="34" customWidth="1" min="3" max="3"/>
    <col width="16" customWidth="1" min="4" max="4"/>
    <col width="11" customWidth="1" min="5" max="20"/>
    <col width="20" customWidth="1" min="21" max="24"/>
    <col width="11" customWidth="1" min="25" max="27"/>
    <col width="60" customWidth="1" min="28" max="28"/>
    <col width="9" customWidth="1" min="29" max="29"/>
    <col width="11" customWidth="1" min="30" max="30"/>
    <col width="70" customWidth="1" min="31" max="31"/>
  </cols>
  <sheetData>
    <row r="1" ht="45" customHeight="1">
      <c r="A1" s="30" t="inlineStr">
        <is>
          <t>Test ID</t>
        </is>
      </c>
      <c r="B1" s="30" t="inlineStr">
        <is>
          <t>BPM Ground Truth</t>
        </is>
      </c>
      <c r="C1" s="30" t="inlineStr">
        <is>
          <t>BPM Ground Truth Method</t>
        </is>
      </c>
      <c r="D1" s="30" t="inlineStr">
        <is>
          <t>BPM Ground Truth Confidence</t>
        </is>
      </c>
      <c r="E1" s="30" t="inlineStr">
        <is>
          <t>Metronome BPM</t>
        </is>
      </c>
      <c r="F1" s="30" t="inlineStr">
        <is>
          <t>Manual Tap BPM</t>
        </is>
      </c>
      <c r="G1" s="30" t="inlineStr">
        <is>
          <t>Measured BPM</t>
        </is>
      </c>
      <c r="H1" s="30" t="inlineStr">
        <is>
          <t>Normalized BPM</t>
        </is>
      </c>
      <c r="I1" s="30" t="inlineStr">
        <is>
          <t>BPM - Wilsify AI</t>
        </is>
      </c>
      <c r="J1" s="30" t="inlineStr">
        <is>
          <t>BPM - Chord AI</t>
        </is>
      </c>
      <c r="K1" s="30" t="inlineStr">
        <is>
          <t>BPM - Other Repo</t>
        </is>
      </c>
      <c r="L1" s="30" t="inlineStr">
        <is>
          <t>BPM - Claude</t>
        </is>
      </c>
      <c r="M1" s="30" t="inlineStr">
        <is>
          <t>Wilsify BPM Error</t>
        </is>
      </c>
      <c r="N1" s="30" t="inlineStr">
        <is>
          <t>Chord AI BPM Error</t>
        </is>
      </c>
      <c r="O1" s="30" t="inlineStr">
        <is>
          <t>Other Repo BPM Error</t>
        </is>
      </c>
      <c r="P1" s="30" t="inlineStr">
        <is>
          <t>Claude BPM Error</t>
        </is>
      </c>
      <c r="Q1" s="30" t="inlineStr">
        <is>
          <t>Wilsify BPM Error %</t>
        </is>
      </c>
      <c r="R1" s="30" t="inlineStr">
        <is>
          <t>Chord AI BPM Error %</t>
        </is>
      </c>
      <c r="S1" s="30" t="inlineStr">
        <is>
          <t>Other Repo BPM Error %</t>
        </is>
      </c>
      <c r="T1" s="30" t="inlineStr">
        <is>
          <t>Claude BPM Error %</t>
        </is>
      </c>
      <c r="U1" s="30" t="inlineStr">
        <is>
          <t>Wilsify Tempo Relation</t>
        </is>
      </c>
      <c r="V1" s="30" t="inlineStr">
        <is>
          <t>Chord AI Tempo Relation</t>
        </is>
      </c>
      <c r="W1" s="30" t="inlineStr">
        <is>
          <t>Other Repo Tempo Relation</t>
        </is>
      </c>
      <c r="X1" s="30" t="inlineStr">
        <is>
          <t>Claude Tempo Relation</t>
        </is>
      </c>
      <c r="Y1" s="30" t="inlineStr">
        <is>
          <t>Half-Time Candidate</t>
        </is>
      </c>
      <c r="Z1" s="30" t="inlineStr">
        <is>
          <t>Double-Time Candidate</t>
        </is>
      </c>
      <c r="AA1" s="30" t="inlineStr">
        <is>
          <t>Tempo Confidence</t>
        </is>
      </c>
      <c r="AB1" s="30" t="inlineStr">
        <is>
          <t>Tempo Notes</t>
        </is>
      </c>
      <c r="AC1" s="30" t="inlineStr">
        <is>
          <t>Usable Beats</t>
        </is>
      </c>
      <c r="AD1" s="30" t="inlineStr">
        <is>
          <t>BPM Variation %</t>
        </is>
      </c>
      <c r="AE1" s="30" t="inlineStr">
        <is>
          <t>Raw Detector Values</t>
        </is>
      </c>
    </row>
    <row r="2">
      <c r="A2" t="inlineStr">
        <is>
          <t>TEST_001</t>
        </is>
      </c>
      <c r="B2" s="31" t="n"/>
      <c r="C2" s="31" t="inlineStr">
        <is>
          <t>UNKNOWN - awaiting metronome setting / tap</t>
        </is>
      </c>
      <c r="D2" s="31" t="inlineStr">
        <is>
          <t>NONE</t>
        </is>
      </c>
      <c r="E2" s="31" t="n"/>
      <c r="F2" s="31" t="n"/>
      <c r="G2" t="n">
        <v>123.05</v>
      </c>
      <c r="H2" t="n">
        <v>123</v>
      </c>
      <c r="I2">
        <f>IFERROR(IF(INDEX(SONG_LEVEL_TRUTH!$J$2:$J$200,MATCH($A2,SONG_LEVEL_TRUTH!$A$2:$A$200,0))="","",INDEX(SONG_LEVEL_TRUTH!$J$2:$J$200,MATCH($A2,SONG_LEVEL_TRUTH!$A$2:$A$200,0))),"")</f>
        <v/>
      </c>
      <c r="J2">
        <f>IFERROR(IF(INDEX(SONG_LEVEL_TRUTH!$K$2:$K$200,MATCH($A2,SONG_LEVEL_TRUTH!$A$2:$A$200,0))="","",INDEX(SONG_LEVEL_TRUTH!$K$2:$K$200,MATCH($A2,SONG_LEVEL_TRUTH!$A$2:$A$200,0))),"")</f>
        <v/>
      </c>
      <c r="K2">
        <f>IFERROR(IF(INDEX(SONG_LEVEL_TRUTH!$L$2:$L$200,MATCH($A2,SONG_LEVEL_TRUTH!$A$2:$A$200,0))="","",INDEX(SONG_LEVEL_TRUTH!$L$2:$L$200,MATCH($A2,SONG_LEVEL_TRUTH!$A$2:$A$200,0))),"")</f>
        <v/>
      </c>
      <c r="L2">
        <f>IFERROR(IF(INDEX(SONG_LEVEL_TRUTH!$M$2:$M$200,MATCH($A2,SONG_LEVEL_TRUTH!$A$2:$A$200,0))="","",INDEX(SONG_LEVEL_TRUTH!$M$2:$M$200,MATCH($A2,SONG_LEVEL_TRUTH!$A$2:$A$200,0))),"")</f>
        <v/>
      </c>
      <c r="M2">
        <f>IF(ISNUMBER($B2),IF(ISNUMBER(I2),ABS(I2-$B2),"n/a"),"GT UNKNOWN")</f>
        <v/>
      </c>
      <c r="N2">
        <f>IF(ISNUMBER($B2),IF(ISNUMBER(J2),ABS(J2-$B2),"n/a"),"GT UNKNOWN")</f>
        <v/>
      </c>
      <c r="O2">
        <f>IF(ISNUMBER($B2),IF(ISNUMBER(K2),ABS(K2-$B2),"n/a"),"GT UNKNOWN")</f>
        <v/>
      </c>
      <c r="P2">
        <f>IF(ISNUMBER($B2),IF(ISNUMBER(L2),ABS(L2-$B2),"n/a"),"GT UNKNOWN")</f>
        <v/>
      </c>
      <c r="Q2">
        <f>IF(ISNUMBER($B2),IF(ISNUMBER(I2),ABS(I2-$B2)/$B2*100,"n/a"),"GT UNKNOWN")</f>
        <v/>
      </c>
      <c r="R2">
        <f>IF(ISNUMBER($B2),IF(ISNUMBER(J2),ABS(J2-$B2)/$B2*100,"n/a"),"GT UNKNOWN")</f>
        <v/>
      </c>
      <c r="S2">
        <f>IF(ISNUMBER($B2),IF(ISNUMBER(K2),ABS(K2-$B2)/$B2*100,"n/a"),"GT UNKNOWN")</f>
        <v/>
      </c>
      <c r="T2">
        <f>IF(ISNUMBER($B2),IF(ISNUMBER(L2),ABS(L2-$B2)/$B2*100,"n/a"),"GT UNKNOWN")</f>
        <v/>
      </c>
      <c r="U2">
        <f>IF(ISNUMBER($B2),IF(ISNUMBER(I2),IF(ABS(I2/$B2-1)&lt;=0.03,"MATCH (within 3%)",IF(ABS(I2/$B2-2)&lt;=0.06,"DOUBLE-TIME ERROR",IF(ABS(I2/$B2-0.5)&lt;=0.03,"HALF-TIME ERROR","BPM ERROR"))),"n/a"),"GT UNKNOWN")</f>
        <v/>
      </c>
      <c r="V2">
        <f>IF(ISNUMBER($B2),IF(ISNUMBER(J2),IF(ABS(J2/$B2-1)&lt;=0.03,"MATCH (within 3%)",IF(ABS(J2/$B2-2)&lt;=0.06,"DOUBLE-TIME ERROR",IF(ABS(J2/$B2-0.5)&lt;=0.03,"HALF-TIME ERROR","BPM ERROR"))),"n/a"),"GT UNKNOWN")</f>
        <v/>
      </c>
      <c r="W2">
        <f>IF(ISNUMBER($B2),IF(ISNUMBER(K2),IF(ABS(K2/$B2-1)&lt;=0.03,"MATCH (within 3%)",IF(ABS(K2/$B2-2)&lt;=0.06,"DOUBLE-TIME ERROR",IF(ABS(K2/$B2-0.5)&lt;=0.03,"HALF-TIME ERROR","BPM ERROR"))),"n/a"),"GT UNKNOWN")</f>
        <v/>
      </c>
      <c r="X2">
        <f>IF(ISNUMBER($B2),IF(ISNUMBER(L2),IF(ABS(L2/$B2-1)&lt;=0.03,"MATCH (within 3%)",IF(ABS(L2/$B2-2)&lt;=0.06,"DOUBLE-TIME ERROR",IF(ABS(L2/$B2-0.5)&lt;=0.03,"HALF-TIME ERROR","BPM ERROR"))),"n/a"),"GT UNKNOWN")</f>
        <v/>
      </c>
      <c r="Y2" t="n">
        <v>61.5</v>
      </c>
      <c r="Z2" t="n">
        <v>246.1</v>
      </c>
      <c r="AA2" t="inlineStr">
        <is>
          <t>MEDIUM</t>
        </is>
      </c>
      <c r="AB2" t="inlineStr">
        <is>
          <t>pulse support 5/6 methods; octave ambiguity possible - confirm by ear/metronome</t>
        </is>
      </c>
      <c r="AC2" t="n">
        <v>62</v>
      </c>
      <c r="AD2" t="n">
        <v>7.1</v>
      </c>
      <c r="AE2" t="inlineStr">
        <is>
          <t>ess_multifeature=123.6, ess_degara=123.6, lib_beat_track=123.0, tempogram=126.0, autocorr=123.0, ioi_hist=225.0</t>
        </is>
      </c>
    </row>
    <row r="3">
      <c r="A3" t="inlineStr">
        <is>
          <t>TEST_002</t>
        </is>
      </c>
      <c r="B3" s="31" t="n"/>
      <c r="C3" s="31" t="inlineStr">
        <is>
          <t>UNKNOWN - awaiting metronome setting / tap</t>
        </is>
      </c>
      <c r="D3" s="31" t="inlineStr">
        <is>
          <t>NONE</t>
        </is>
      </c>
      <c r="E3" s="31" t="n"/>
      <c r="F3" s="31" t="n"/>
      <c r="G3" t="n">
        <v>178.21</v>
      </c>
      <c r="H3" t="n">
        <v>178.2</v>
      </c>
      <c r="I3">
        <f>IFERROR(IF(INDEX(SONG_LEVEL_TRUTH!$J$2:$J$200,MATCH($A3,SONG_LEVEL_TRUTH!$A$2:$A$200,0))="","",INDEX(SONG_LEVEL_TRUTH!$J$2:$J$200,MATCH($A3,SONG_LEVEL_TRUTH!$A$2:$A$200,0))),"")</f>
        <v/>
      </c>
      <c r="J3">
        <f>IFERROR(IF(INDEX(SONG_LEVEL_TRUTH!$K$2:$K$200,MATCH($A3,SONG_LEVEL_TRUTH!$A$2:$A$200,0))="","",INDEX(SONG_LEVEL_TRUTH!$K$2:$K$200,MATCH($A3,SONG_LEVEL_TRUTH!$A$2:$A$200,0))),"")</f>
        <v/>
      </c>
      <c r="K3">
        <f>IFERROR(IF(INDEX(SONG_LEVEL_TRUTH!$L$2:$L$200,MATCH($A3,SONG_LEVEL_TRUTH!$A$2:$A$200,0))="","",INDEX(SONG_LEVEL_TRUTH!$L$2:$L$200,MATCH($A3,SONG_LEVEL_TRUTH!$A$2:$A$200,0))),"")</f>
        <v/>
      </c>
      <c r="L3">
        <f>IFERROR(IF(INDEX(SONG_LEVEL_TRUTH!$M$2:$M$200,MATCH($A3,SONG_LEVEL_TRUTH!$A$2:$A$200,0))="","",INDEX(SONG_LEVEL_TRUTH!$M$2:$M$200,MATCH($A3,SONG_LEVEL_TRUTH!$A$2:$A$200,0))),"")</f>
        <v/>
      </c>
      <c r="M3">
        <f>IF(ISNUMBER($B3),IF(ISNUMBER(I3),ABS(I3-$B3),"n/a"),"GT UNKNOWN")</f>
        <v/>
      </c>
      <c r="N3">
        <f>IF(ISNUMBER($B3),IF(ISNUMBER(J3),ABS(J3-$B3),"n/a"),"GT UNKNOWN")</f>
        <v/>
      </c>
      <c r="O3">
        <f>IF(ISNUMBER($B3),IF(ISNUMBER(K3),ABS(K3-$B3),"n/a"),"GT UNKNOWN")</f>
        <v/>
      </c>
      <c r="P3">
        <f>IF(ISNUMBER($B3),IF(ISNUMBER(L3),ABS(L3-$B3),"n/a"),"GT UNKNOWN")</f>
        <v/>
      </c>
      <c r="Q3">
        <f>IF(ISNUMBER($B3),IF(ISNUMBER(I3),ABS(I3-$B3)/$B3*100,"n/a"),"GT UNKNOWN")</f>
        <v/>
      </c>
      <c r="R3">
        <f>IF(ISNUMBER($B3),IF(ISNUMBER(J3),ABS(J3-$B3)/$B3*100,"n/a"),"GT UNKNOWN")</f>
        <v/>
      </c>
      <c r="S3">
        <f>IF(ISNUMBER($B3),IF(ISNUMBER(K3),ABS(K3-$B3)/$B3*100,"n/a"),"GT UNKNOWN")</f>
        <v/>
      </c>
      <c r="T3">
        <f>IF(ISNUMBER($B3),IF(ISNUMBER(L3),ABS(L3-$B3)/$B3*100,"n/a"),"GT UNKNOWN")</f>
        <v/>
      </c>
      <c r="U3">
        <f>IF(ISNUMBER($B3),IF(ISNUMBER(I3),IF(ABS(I3/$B3-1)&lt;=0.03,"MATCH (within 3%)",IF(ABS(I3/$B3-2)&lt;=0.06,"DOUBLE-TIME ERROR",IF(ABS(I3/$B3-0.5)&lt;=0.03,"HALF-TIME ERROR","BPM ERROR"))),"n/a"),"GT UNKNOWN")</f>
        <v/>
      </c>
      <c r="V3">
        <f>IF(ISNUMBER($B3),IF(ISNUMBER(J3),IF(ABS(J3/$B3-1)&lt;=0.03,"MATCH (within 3%)",IF(ABS(J3/$B3-2)&lt;=0.06,"DOUBLE-TIME ERROR",IF(ABS(J3/$B3-0.5)&lt;=0.03,"HALF-TIME ERROR","BPM ERROR"))),"n/a"),"GT UNKNOWN")</f>
        <v/>
      </c>
      <c r="W3">
        <f>IF(ISNUMBER($B3),IF(ISNUMBER(K3),IF(ABS(K3/$B3-1)&lt;=0.03,"MATCH (within 3%)",IF(ABS(K3/$B3-2)&lt;=0.06,"DOUBLE-TIME ERROR",IF(ABS(K3/$B3-0.5)&lt;=0.03,"HALF-TIME ERROR","BPM ERROR"))),"n/a"),"GT UNKNOWN")</f>
        <v/>
      </c>
      <c r="X3">
        <f>IF(ISNUMBER($B3),IF(ISNUMBER(L3),IF(ABS(L3/$B3-1)&lt;=0.03,"MATCH (within 3%)",IF(ABS(L3/$B3-2)&lt;=0.06,"DOUBLE-TIME ERROR",IF(ABS(L3/$B3-0.5)&lt;=0.03,"HALF-TIME ERROR","BPM ERROR"))),"n/a"),"GT UNKNOWN")</f>
        <v/>
      </c>
      <c r="Y3" t="n">
        <v>89.09999999999999</v>
      </c>
      <c r="Z3" t="n">
        <v>356.4</v>
      </c>
      <c r="AA3" t="inlineStr">
        <is>
          <t>HIGH</t>
        </is>
      </c>
      <c r="AB3" t="inlineStr">
        <is>
          <t>pulse support 5/6 methods; octave ambiguity possible - confirm by ear/metronome</t>
        </is>
      </c>
      <c r="AC3" t="n">
        <v>410</v>
      </c>
      <c r="AD3" t="n">
        <v>0</v>
      </c>
      <c r="AE3" t="inlineStr">
        <is>
          <t>ess_multifeature=178.2, ess_degara=178.2, lib_beat_track=90.7, tempogram=178.2, autocorr=178.2, ioi_hist=179.0</t>
        </is>
      </c>
    </row>
    <row r="4">
      <c r="A4" t="inlineStr">
        <is>
          <t>TEST_003</t>
        </is>
      </c>
      <c r="B4" s="31" t="n"/>
      <c r="C4" s="31" t="inlineStr">
        <is>
          <t>UNKNOWN - awaiting metronome setting / tap</t>
        </is>
      </c>
      <c r="D4" s="31" t="inlineStr">
        <is>
          <t>NONE</t>
        </is>
      </c>
      <c r="E4" s="31" t="n"/>
      <c r="F4" s="31" t="n"/>
      <c r="G4" t="n">
        <v>156.61</v>
      </c>
      <c r="H4" t="n">
        <v>147</v>
      </c>
      <c r="I4">
        <f>IFERROR(IF(INDEX(SONG_LEVEL_TRUTH!$J$2:$J$200,MATCH($A4,SONG_LEVEL_TRUTH!$A$2:$A$200,0))="","",INDEX(SONG_LEVEL_TRUTH!$J$2:$J$200,MATCH($A4,SONG_LEVEL_TRUTH!$A$2:$A$200,0))),"")</f>
        <v/>
      </c>
      <c r="J4">
        <f>IFERROR(IF(INDEX(SONG_LEVEL_TRUTH!$K$2:$K$200,MATCH($A4,SONG_LEVEL_TRUTH!$A$2:$A$200,0))="","",INDEX(SONG_LEVEL_TRUTH!$K$2:$K$200,MATCH($A4,SONG_LEVEL_TRUTH!$A$2:$A$200,0))),"")</f>
        <v/>
      </c>
      <c r="K4">
        <f>IFERROR(IF(INDEX(SONG_LEVEL_TRUTH!$L$2:$L$200,MATCH($A4,SONG_LEVEL_TRUTH!$A$2:$A$200,0))="","",INDEX(SONG_LEVEL_TRUTH!$L$2:$L$200,MATCH($A4,SONG_LEVEL_TRUTH!$A$2:$A$200,0))),"")</f>
        <v/>
      </c>
      <c r="L4">
        <f>IFERROR(IF(INDEX(SONG_LEVEL_TRUTH!$M$2:$M$200,MATCH($A4,SONG_LEVEL_TRUTH!$A$2:$A$200,0))="","",INDEX(SONG_LEVEL_TRUTH!$M$2:$M$200,MATCH($A4,SONG_LEVEL_TRUTH!$A$2:$A$200,0))),"")</f>
        <v/>
      </c>
      <c r="M4">
        <f>IF(ISNUMBER($B4),IF(ISNUMBER(I4),ABS(I4-$B4),"n/a"),"GT UNKNOWN")</f>
        <v/>
      </c>
      <c r="N4">
        <f>IF(ISNUMBER($B4),IF(ISNUMBER(J4),ABS(J4-$B4),"n/a"),"GT UNKNOWN")</f>
        <v/>
      </c>
      <c r="O4">
        <f>IF(ISNUMBER($B4),IF(ISNUMBER(K4),ABS(K4-$B4),"n/a"),"GT UNKNOWN")</f>
        <v/>
      </c>
      <c r="P4">
        <f>IF(ISNUMBER($B4),IF(ISNUMBER(L4),ABS(L4-$B4),"n/a"),"GT UNKNOWN")</f>
        <v/>
      </c>
      <c r="Q4">
        <f>IF(ISNUMBER($B4),IF(ISNUMBER(I4),ABS(I4-$B4)/$B4*100,"n/a"),"GT UNKNOWN")</f>
        <v/>
      </c>
      <c r="R4">
        <f>IF(ISNUMBER($B4),IF(ISNUMBER(J4),ABS(J4-$B4)/$B4*100,"n/a"),"GT UNKNOWN")</f>
        <v/>
      </c>
      <c r="S4">
        <f>IF(ISNUMBER($B4),IF(ISNUMBER(K4),ABS(K4-$B4)/$B4*100,"n/a"),"GT UNKNOWN")</f>
        <v/>
      </c>
      <c r="T4">
        <f>IF(ISNUMBER($B4),IF(ISNUMBER(L4),ABS(L4-$B4)/$B4*100,"n/a"),"GT UNKNOWN")</f>
        <v/>
      </c>
      <c r="U4">
        <f>IF(ISNUMBER($B4),IF(ISNUMBER(I4),IF(ABS(I4/$B4-1)&lt;=0.03,"MATCH (within 3%)",IF(ABS(I4/$B4-2)&lt;=0.06,"DOUBLE-TIME ERROR",IF(ABS(I4/$B4-0.5)&lt;=0.03,"HALF-TIME ERROR","BPM ERROR"))),"n/a"),"GT UNKNOWN")</f>
        <v/>
      </c>
      <c r="V4">
        <f>IF(ISNUMBER($B4),IF(ISNUMBER(J4),IF(ABS(J4/$B4-1)&lt;=0.03,"MATCH (within 3%)",IF(ABS(J4/$B4-2)&lt;=0.06,"DOUBLE-TIME ERROR",IF(ABS(J4/$B4-0.5)&lt;=0.03,"HALF-TIME ERROR","BPM ERROR"))),"n/a"),"GT UNKNOWN")</f>
        <v/>
      </c>
      <c r="W4">
        <f>IF(ISNUMBER($B4),IF(ISNUMBER(K4),IF(ABS(K4/$B4-1)&lt;=0.03,"MATCH (within 3%)",IF(ABS(K4/$B4-2)&lt;=0.06,"DOUBLE-TIME ERROR",IF(ABS(K4/$B4-0.5)&lt;=0.03,"HALF-TIME ERROR","BPM ERROR"))),"n/a"),"GT UNKNOWN")</f>
        <v/>
      </c>
      <c r="X4">
        <f>IF(ISNUMBER($B4),IF(ISNUMBER(L4),IF(ABS(L4/$B4-1)&lt;=0.03,"MATCH (within 3%)",IF(ABS(L4/$B4-2)&lt;=0.06,"DOUBLE-TIME ERROR",IF(ABS(L4/$B4-0.5)&lt;=0.03,"HALF-TIME ERROR","BPM ERROR"))),"n/a"),"GT UNKNOWN")</f>
        <v/>
      </c>
      <c r="Y4" t="n">
        <v>73.5</v>
      </c>
      <c r="Z4" t="n">
        <v>294</v>
      </c>
      <c r="AA4" t="inlineStr">
        <is>
          <t>LOW</t>
        </is>
      </c>
      <c r="AB4" t="inlineStr">
        <is>
          <t>methods disagree (octave/tempo ambiguity); pulse support 2/6 methods; octave ambiguity possible - confirm by ear/metronome</t>
        </is>
      </c>
      <c r="AC4" t="n">
        <v>66</v>
      </c>
      <c r="AD4" t="n">
        <v>4.5</v>
      </c>
      <c r="AE4" t="inlineStr">
        <is>
          <t>ess_multifeature=154.4, ess_degara=103.2, lib_beat_track=147.7, tempogram=156.6, autocorr=51.7, ioi_hist=147.0</t>
        </is>
      </c>
    </row>
    <row r="5">
      <c r="A5" t="inlineStr">
        <is>
          <t>TEST_004</t>
        </is>
      </c>
      <c r="B5" s="31" t="n"/>
      <c r="C5" s="31" t="inlineStr">
        <is>
          <t>UNKNOWN - awaiting metronome setting / tap</t>
        </is>
      </c>
      <c r="D5" s="31" t="inlineStr">
        <is>
          <t>NONE</t>
        </is>
      </c>
      <c r="E5" s="31" t="n"/>
      <c r="F5" s="31" t="n"/>
      <c r="G5" t="n">
        <v>107.67</v>
      </c>
      <c r="H5" t="n">
        <v>110</v>
      </c>
      <c r="I5">
        <f>IFERROR(IF(INDEX(SONG_LEVEL_TRUTH!$J$2:$J$200,MATCH($A5,SONG_LEVEL_TRUTH!$A$2:$A$200,0))="","",INDEX(SONG_LEVEL_TRUTH!$J$2:$J$200,MATCH($A5,SONG_LEVEL_TRUTH!$A$2:$A$200,0))),"")</f>
        <v/>
      </c>
      <c r="J5">
        <f>IFERROR(IF(INDEX(SONG_LEVEL_TRUTH!$K$2:$K$200,MATCH($A5,SONG_LEVEL_TRUTH!$A$2:$A$200,0))="","",INDEX(SONG_LEVEL_TRUTH!$K$2:$K$200,MATCH($A5,SONG_LEVEL_TRUTH!$A$2:$A$200,0))),"")</f>
        <v/>
      </c>
      <c r="K5">
        <f>IFERROR(IF(INDEX(SONG_LEVEL_TRUTH!$L$2:$L$200,MATCH($A5,SONG_LEVEL_TRUTH!$A$2:$A$200,0))="","",INDEX(SONG_LEVEL_TRUTH!$L$2:$L$200,MATCH($A5,SONG_LEVEL_TRUTH!$A$2:$A$200,0))),"")</f>
        <v/>
      </c>
      <c r="L5">
        <f>IFERROR(IF(INDEX(SONG_LEVEL_TRUTH!$M$2:$M$200,MATCH($A5,SONG_LEVEL_TRUTH!$A$2:$A$200,0))="","",INDEX(SONG_LEVEL_TRUTH!$M$2:$M$200,MATCH($A5,SONG_LEVEL_TRUTH!$A$2:$A$200,0))),"")</f>
        <v/>
      </c>
      <c r="M5">
        <f>IF(ISNUMBER($B5),IF(ISNUMBER(I5),ABS(I5-$B5),"n/a"),"GT UNKNOWN")</f>
        <v/>
      </c>
      <c r="N5">
        <f>IF(ISNUMBER($B5),IF(ISNUMBER(J5),ABS(J5-$B5),"n/a"),"GT UNKNOWN")</f>
        <v/>
      </c>
      <c r="O5">
        <f>IF(ISNUMBER($B5),IF(ISNUMBER(K5),ABS(K5-$B5),"n/a"),"GT UNKNOWN")</f>
        <v/>
      </c>
      <c r="P5">
        <f>IF(ISNUMBER($B5),IF(ISNUMBER(L5),ABS(L5-$B5),"n/a"),"GT UNKNOWN")</f>
        <v/>
      </c>
      <c r="Q5">
        <f>IF(ISNUMBER($B5),IF(ISNUMBER(I5),ABS(I5-$B5)/$B5*100,"n/a"),"GT UNKNOWN")</f>
        <v/>
      </c>
      <c r="R5">
        <f>IF(ISNUMBER($B5),IF(ISNUMBER(J5),ABS(J5-$B5)/$B5*100,"n/a"),"GT UNKNOWN")</f>
        <v/>
      </c>
      <c r="S5">
        <f>IF(ISNUMBER($B5),IF(ISNUMBER(K5),ABS(K5-$B5)/$B5*100,"n/a"),"GT UNKNOWN")</f>
        <v/>
      </c>
      <c r="T5">
        <f>IF(ISNUMBER($B5),IF(ISNUMBER(L5),ABS(L5-$B5)/$B5*100,"n/a"),"GT UNKNOWN")</f>
        <v/>
      </c>
      <c r="U5">
        <f>IF(ISNUMBER($B5),IF(ISNUMBER(I5),IF(ABS(I5/$B5-1)&lt;=0.03,"MATCH (within 3%)",IF(ABS(I5/$B5-2)&lt;=0.06,"DOUBLE-TIME ERROR",IF(ABS(I5/$B5-0.5)&lt;=0.03,"HALF-TIME ERROR","BPM ERROR"))),"n/a"),"GT UNKNOWN")</f>
        <v/>
      </c>
      <c r="V5">
        <f>IF(ISNUMBER($B5),IF(ISNUMBER(J5),IF(ABS(J5/$B5-1)&lt;=0.03,"MATCH (within 3%)",IF(ABS(J5/$B5-2)&lt;=0.06,"DOUBLE-TIME ERROR",IF(ABS(J5/$B5-0.5)&lt;=0.03,"HALF-TIME ERROR","BPM ERROR"))),"n/a"),"GT UNKNOWN")</f>
        <v/>
      </c>
      <c r="W5">
        <f>IF(ISNUMBER($B5),IF(ISNUMBER(K5),IF(ABS(K5/$B5-1)&lt;=0.03,"MATCH (within 3%)",IF(ABS(K5/$B5-2)&lt;=0.06,"DOUBLE-TIME ERROR",IF(ABS(K5/$B5-0.5)&lt;=0.03,"HALF-TIME ERROR","BPM ERROR"))),"n/a"),"GT UNKNOWN")</f>
        <v/>
      </c>
      <c r="X5">
        <f>IF(ISNUMBER($B5),IF(ISNUMBER(L5),IF(ABS(L5/$B5-1)&lt;=0.03,"MATCH (within 3%)",IF(ABS(L5/$B5-2)&lt;=0.06,"DOUBLE-TIME ERROR",IF(ABS(L5/$B5-0.5)&lt;=0.03,"HALF-TIME ERROR","BPM ERROR"))),"n/a"),"GT UNKNOWN")</f>
        <v/>
      </c>
      <c r="Y5" t="n">
        <v>55</v>
      </c>
      <c r="Z5" t="n">
        <v>219.9</v>
      </c>
      <c r="AA5" t="inlineStr">
        <is>
          <t>MEDIUM</t>
        </is>
      </c>
      <c r="AB5" t="inlineStr">
        <is>
          <t>pulse support 3/6 methods; octave ambiguity possible - confirm by ear/metronome</t>
        </is>
      </c>
      <c r="AC5" t="n">
        <v>170</v>
      </c>
      <c r="AD5" t="n">
        <v>6.2</v>
      </c>
      <c r="AE5" t="inlineStr">
        <is>
          <t>ess_multifeature=108.4, ess_degara=113.4, lib_beat_track=110.0, tempogram=215.3, autocorr=53.8, ioi_hist=179.0</t>
        </is>
      </c>
    </row>
    <row r="6">
      <c r="A6" t="inlineStr">
        <is>
          <t>TEST_005</t>
        </is>
      </c>
      <c r="B6" s="31" t="n"/>
      <c r="C6" s="31" t="inlineStr">
        <is>
          <t>UNKNOWN - awaiting metronome setting / tap</t>
        </is>
      </c>
      <c r="D6" s="31" t="inlineStr">
        <is>
          <t>NONE</t>
        </is>
      </c>
      <c r="E6" s="31" t="n"/>
      <c r="F6" s="31" t="n"/>
      <c r="G6" t="n">
        <v>129.2</v>
      </c>
      <c r="H6" t="n">
        <v>129.2</v>
      </c>
      <c r="I6">
        <f>IFERROR(IF(INDEX(SONG_LEVEL_TRUTH!$J$2:$J$200,MATCH($A6,SONG_LEVEL_TRUTH!$A$2:$A$200,0))="","",INDEX(SONG_LEVEL_TRUTH!$J$2:$J$200,MATCH($A6,SONG_LEVEL_TRUTH!$A$2:$A$200,0))),"")</f>
        <v/>
      </c>
      <c r="J6">
        <f>IFERROR(IF(INDEX(SONG_LEVEL_TRUTH!$K$2:$K$200,MATCH($A6,SONG_LEVEL_TRUTH!$A$2:$A$200,0))="","",INDEX(SONG_LEVEL_TRUTH!$K$2:$K$200,MATCH($A6,SONG_LEVEL_TRUTH!$A$2:$A$200,0))),"")</f>
        <v/>
      </c>
      <c r="K6">
        <f>IFERROR(IF(INDEX(SONG_LEVEL_TRUTH!$L$2:$L$200,MATCH($A6,SONG_LEVEL_TRUTH!$A$2:$A$200,0))="","",INDEX(SONG_LEVEL_TRUTH!$L$2:$L$200,MATCH($A6,SONG_LEVEL_TRUTH!$A$2:$A$200,0))),"")</f>
        <v/>
      </c>
      <c r="L6">
        <f>IFERROR(IF(INDEX(SONG_LEVEL_TRUTH!$M$2:$M$200,MATCH($A6,SONG_LEVEL_TRUTH!$A$2:$A$200,0))="","",INDEX(SONG_LEVEL_TRUTH!$M$2:$M$200,MATCH($A6,SONG_LEVEL_TRUTH!$A$2:$A$200,0))),"")</f>
        <v/>
      </c>
      <c r="M6">
        <f>IF(ISNUMBER($B6),IF(ISNUMBER(I6),ABS(I6-$B6),"n/a"),"GT UNKNOWN")</f>
        <v/>
      </c>
      <c r="N6">
        <f>IF(ISNUMBER($B6),IF(ISNUMBER(J6),ABS(J6-$B6),"n/a"),"GT UNKNOWN")</f>
        <v/>
      </c>
      <c r="O6">
        <f>IF(ISNUMBER($B6),IF(ISNUMBER(K6),ABS(K6-$B6),"n/a"),"GT UNKNOWN")</f>
        <v/>
      </c>
      <c r="P6">
        <f>IF(ISNUMBER($B6),IF(ISNUMBER(L6),ABS(L6-$B6),"n/a"),"GT UNKNOWN")</f>
        <v/>
      </c>
      <c r="Q6">
        <f>IF(ISNUMBER($B6),IF(ISNUMBER(I6),ABS(I6-$B6)/$B6*100,"n/a"),"GT UNKNOWN")</f>
        <v/>
      </c>
      <c r="R6">
        <f>IF(ISNUMBER($B6),IF(ISNUMBER(J6),ABS(J6-$B6)/$B6*100,"n/a"),"GT UNKNOWN")</f>
        <v/>
      </c>
      <c r="S6">
        <f>IF(ISNUMBER($B6),IF(ISNUMBER(K6),ABS(K6-$B6)/$B6*100,"n/a"),"GT UNKNOWN")</f>
        <v/>
      </c>
      <c r="T6">
        <f>IF(ISNUMBER($B6),IF(ISNUMBER(L6),ABS(L6-$B6)/$B6*100,"n/a"),"GT UNKNOWN")</f>
        <v/>
      </c>
      <c r="U6">
        <f>IF(ISNUMBER($B6),IF(ISNUMBER(I6),IF(ABS(I6/$B6-1)&lt;=0.03,"MATCH (within 3%)",IF(ABS(I6/$B6-2)&lt;=0.06,"DOUBLE-TIME ERROR",IF(ABS(I6/$B6-0.5)&lt;=0.03,"HALF-TIME ERROR","BPM ERROR"))),"n/a"),"GT UNKNOWN")</f>
        <v/>
      </c>
      <c r="V6">
        <f>IF(ISNUMBER($B6),IF(ISNUMBER(J6),IF(ABS(J6/$B6-1)&lt;=0.03,"MATCH (within 3%)",IF(ABS(J6/$B6-2)&lt;=0.06,"DOUBLE-TIME ERROR",IF(ABS(J6/$B6-0.5)&lt;=0.03,"HALF-TIME ERROR","BPM ERROR"))),"n/a"),"GT UNKNOWN")</f>
        <v/>
      </c>
      <c r="W6">
        <f>IF(ISNUMBER($B6),IF(ISNUMBER(K6),IF(ABS(K6/$B6-1)&lt;=0.03,"MATCH (within 3%)",IF(ABS(K6/$B6-2)&lt;=0.06,"DOUBLE-TIME ERROR",IF(ABS(K6/$B6-0.5)&lt;=0.03,"HALF-TIME ERROR","BPM ERROR"))),"n/a"),"GT UNKNOWN")</f>
        <v/>
      </c>
      <c r="X6">
        <f>IF(ISNUMBER($B6),IF(ISNUMBER(L6),IF(ABS(L6/$B6-1)&lt;=0.03,"MATCH (within 3%)",IF(ABS(L6/$B6-2)&lt;=0.06,"DOUBLE-TIME ERROR",IF(ABS(L6/$B6-0.5)&lt;=0.03,"HALF-TIME ERROR","BPM ERROR"))),"n/a"),"GT UNKNOWN")</f>
        <v/>
      </c>
      <c r="Y6" t="n">
        <v>64.59999999999999</v>
      </c>
      <c r="Z6" t="n">
        <v>258.4</v>
      </c>
      <c r="AA6" t="inlineStr">
        <is>
          <t>HIGH</t>
        </is>
      </c>
      <c r="AB6" t="inlineStr">
        <is>
          <t>pulse support 5/6 methods; octave ambiguity possible - confirm by ear/metronome</t>
        </is>
      </c>
      <c r="AC6" t="n">
        <v>66</v>
      </c>
      <c r="AD6" t="n">
        <v>3.7</v>
      </c>
      <c r="AE6" t="inlineStr">
        <is>
          <t>ess_multifeature=129.5, ess_degara=131.3, lib_beat_track=129.2, tempogram=129.2, autocorr=63.8, ioi_hist=133.0</t>
        </is>
      </c>
    </row>
    <row r="7">
      <c r="A7" t="inlineStr">
        <is>
          <t>TEST_006</t>
        </is>
      </c>
      <c r="B7" s="31" t="n"/>
      <c r="C7" s="31" t="inlineStr">
        <is>
          <t>UNKNOWN - awaiting metronome setting / tap</t>
        </is>
      </c>
      <c r="D7" s="31" t="inlineStr">
        <is>
          <t>NONE</t>
        </is>
      </c>
      <c r="E7" s="31" t="n"/>
      <c r="F7" s="31" t="n"/>
      <c r="G7" t="n">
        <v>103.36</v>
      </c>
      <c r="H7" t="n">
        <v>105.2</v>
      </c>
      <c r="I7">
        <f>IFERROR(IF(INDEX(SONG_LEVEL_TRUTH!$J$2:$J$200,MATCH($A7,SONG_LEVEL_TRUTH!$A$2:$A$200,0))="","",INDEX(SONG_LEVEL_TRUTH!$J$2:$J$200,MATCH($A7,SONG_LEVEL_TRUTH!$A$2:$A$200,0))),"")</f>
        <v/>
      </c>
      <c r="J7">
        <f>IFERROR(IF(INDEX(SONG_LEVEL_TRUTH!$K$2:$K$200,MATCH($A7,SONG_LEVEL_TRUTH!$A$2:$A$200,0))="","",INDEX(SONG_LEVEL_TRUTH!$K$2:$K$200,MATCH($A7,SONG_LEVEL_TRUTH!$A$2:$A$200,0))),"")</f>
        <v/>
      </c>
      <c r="K7">
        <f>IFERROR(IF(INDEX(SONG_LEVEL_TRUTH!$L$2:$L$200,MATCH($A7,SONG_LEVEL_TRUTH!$A$2:$A$200,0))="","",INDEX(SONG_LEVEL_TRUTH!$L$2:$L$200,MATCH($A7,SONG_LEVEL_TRUTH!$A$2:$A$200,0))),"")</f>
        <v/>
      </c>
      <c r="L7">
        <f>IFERROR(IF(INDEX(SONG_LEVEL_TRUTH!$M$2:$M$200,MATCH($A7,SONG_LEVEL_TRUTH!$A$2:$A$200,0))="","",INDEX(SONG_LEVEL_TRUTH!$M$2:$M$200,MATCH($A7,SONG_LEVEL_TRUTH!$A$2:$A$200,0))),"")</f>
        <v/>
      </c>
      <c r="M7">
        <f>IF(ISNUMBER($B7),IF(ISNUMBER(I7),ABS(I7-$B7),"n/a"),"GT UNKNOWN")</f>
        <v/>
      </c>
      <c r="N7">
        <f>IF(ISNUMBER($B7),IF(ISNUMBER(J7),ABS(J7-$B7),"n/a"),"GT UNKNOWN")</f>
        <v/>
      </c>
      <c r="O7">
        <f>IF(ISNUMBER($B7),IF(ISNUMBER(K7),ABS(K7-$B7),"n/a"),"GT UNKNOWN")</f>
        <v/>
      </c>
      <c r="P7">
        <f>IF(ISNUMBER($B7),IF(ISNUMBER(L7),ABS(L7-$B7),"n/a"),"GT UNKNOWN")</f>
        <v/>
      </c>
      <c r="Q7">
        <f>IF(ISNUMBER($B7),IF(ISNUMBER(I7),ABS(I7-$B7)/$B7*100,"n/a"),"GT UNKNOWN")</f>
        <v/>
      </c>
      <c r="R7">
        <f>IF(ISNUMBER($B7),IF(ISNUMBER(J7),ABS(J7-$B7)/$B7*100,"n/a"),"GT UNKNOWN")</f>
        <v/>
      </c>
      <c r="S7">
        <f>IF(ISNUMBER($B7),IF(ISNUMBER(K7),ABS(K7-$B7)/$B7*100,"n/a"),"GT UNKNOWN")</f>
        <v/>
      </c>
      <c r="T7">
        <f>IF(ISNUMBER($B7),IF(ISNUMBER(L7),ABS(L7-$B7)/$B7*100,"n/a"),"GT UNKNOWN")</f>
        <v/>
      </c>
      <c r="U7">
        <f>IF(ISNUMBER($B7),IF(ISNUMBER(I7),IF(ABS(I7/$B7-1)&lt;=0.03,"MATCH (within 3%)",IF(ABS(I7/$B7-2)&lt;=0.06,"DOUBLE-TIME ERROR",IF(ABS(I7/$B7-0.5)&lt;=0.03,"HALF-TIME ERROR","BPM ERROR"))),"n/a"),"GT UNKNOWN")</f>
        <v/>
      </c>
      <c r="V7">
        <f>IF(ISNUMBER($B7),IF(ISNUMBER(J7),IF(ABS(J7/$B7-1)&lt;=0.03,"MATCH (within 3%)",IF(ABS(J7/$B7-2)&lt;=0.06,"DOUBLE-TIME ERROR",IF(ABS(J7/$B7-0.5)&lt;=0.03,"HALF-TIME ERROR","BPM ERROR"))),"n/a"),"GT UNKNOWN")</f>
        <v/>
      </c>
      <c r="W7">
        <f>IF(ISNUMBER($B7),IF(ISNUMBER(K7),IF(ABS(K7/$B7-1)&lt;=0.03,"MATCH (within 3%)",IF(ABS(K7/$B7-2)&lt;=0.06,"DOUBLE-TIME ERROR",IF(ABS(K7/$B7-0.5)&lt;=0.03,"HALF-TIME ERROR","BPM ERROR"))),"n/a"),"GT UNKNOWN")</f>
        <v/>
      </c>
      <c r="X7">
        <f>IF(ISNUMBER($B7),IF(ISNUMBER(L7),IF(ABS(L7/$B7-1)&lt;=0.03,"MATCH (within 3%)",IF(ABS(L7/$B7-2)&lt;=0.06,"DOUBLE-TIME ERROR",IF(ABS(L7/$B7-0.5)&lt;=0.03,"HALF-TIME ERROR","BPM ERROR"))),"n/a"),"GT UNKNOWN")</f>
        <v/>
      </c>
      <c r="Y7" t="n">
        <v>52.6</v>
      </c>
      <c r="Z7" t="n">
        <v>210.3</v>
      </c>
      <c r="AA7" t="inlineStr">
        <is>
          <t>HIGH</t>
        </is>
      </c>
      <c r="AB7" t="inlineStr">
        <is>
          <t>pulse support 5/6 methods; octave ambiguity possible - confirm by ear/metronome</t>
        </is>
      </c>
      <c r="AC7" t="n">
        <v>127</v>
      </c>
      <c r="AD7" t="n">
        <v>3</v>
      </c>
      <c r="AE7" t="inlineStr">
        <is>
          <t>ess_multifeature=104.5, ess_degara=105.2, lib_beat_track=105.5, tempogram=105.5, autocorr=105.5, ioi_hist=179.0</t>
        </is>
      </c>
    </row>
    <row r="8">
      <c r="A8" t="inlineStr">
        <is>
          <t>TEST_007</t>
        </is>
      </c>
      <c r="B8" s="31" t="n"/>
      <c r="C8" s="31" t="inlineStr">
        <is>
          <t>UNKNOWN - awaiting metronome setting / tap</t>
        </is>
      </c>
      <c r="D8" s="31" t="inlineStr">
        <is>
          <t>NONE</t>
        </is>
      </c>
      <c r="E8" s="31" t="n"/>
      <c r="F8" s="31" t="n"/>
      <c r="G8" t="n">
        <v>118.8</v>
      </c>
      <c r="H8" t="n">
        <v>117</v>
      </c>
      <c r="I8">
        <f>IFERROR(IF(INDEX(SONG_LEVEL_TRUTH!$J$2:$J$200,MATCH($A8,SONG_LEVEL_TRUTH!$A$2:$A$200,0))="","",INDEX(SONG_LEVEL_TRUTH!$J$2:$J$200,MATCH($A8,SONG_LEVEL_TRUTH!$A$2:$A$200,0))),"")</f>
        <v/>
      </c>
      <c r="J8">
        <f>IFERROR(IF(INDEX(SONG_LEVEL_TRUTH!$K$2:$K$200,MATCH($A8,SONG_LEVEL_TRUTH!$A$2:$A$200,0))="","",INDEX(SONG_LEVEL_TRUTH!$K$2:$K$200,MATCH($A8,SONG_LEVEL_TRUTH!$A$2:$A$200,0))),"")</f>
        <v/>
      </c>
      <c r="K8">
        <f>IFERROR(IF(INDEX(SONG_LEVEL_TRUTH!$L$2:$L$200,MATCH($A8,SONG_LEVEL_TRUTH!$A$2:$A$200,0))="","",INDEX(SONG_LEVEL_TRUTH!$L$2:$L$200,MATCH($A8,SONG_LEVEL_TRUTH!$A$2:$A$200,0))),"")</f>
        <v/>
      </c>
      <c r="L8">
        <f>IFERROR(IF(INDEX(SONG_LEVEL_TRUTH!$M$2:$M$200,MATCH($A8,SONG_LEVEL_TRUTH!$A$2:$A$200,0))="","",INDEX(SONG_LEVEL_TRUTH!$M$2:$M$200,MATCH($A8,SONG_LEVEL_TRUTH!$A$2:$A$200,0))),"")</f>
        <v/>
      </c>
      <c r="M8">
        <f>IF(ISNUMBER($B8),IF(ISNUMBER(I8),ABS(I8-$B8),"n/a"),"GT UNKNOWN")</f>
        <v/>
      </c>
      <c r="N8">
        <f>IF(ISNUMBER($B8),IF(ISNUMBER(J8),ABS(J8-$B8),"n/a"),"GT UNKNOWN")</f>
        <v/>
      </c>
      <c r="O8">
        <f>IF(ISNUMBER($B8),IF(ISNUMBER(K8),ABS(K8-$B8),"n/a"),"GT UNKNOWN")</f>
        <v/>
      </c>
      <c r="P8">
        <f>IF(ISNUMBER($B8),IF(ISNUMBER(L8),ABS(L8-$B8),"n/a"),"GT UNKNOWN")</f>
        <v/>
      </c>
      <c r="Q8">
        <f>IF(ISNUMBER($B8),IF(ISNUMBER(I8),ABS(I8-$B8)/$B8*100,"n/a"),"GT UNKNOWN")</f>
        <v/>
      </c>
      <c r="R8">
        <f>IF(ISNUMBER($B8),IF(ISNUMBER(J8),ABS(J8-$B8)/$B8*100,"n/a"),"GT UNKNOWN")</f>
        <v/>
      </c>
      <c r="S8">
        <f>IF(ISNUMBER($B8),IF(ISNUMBER(K8),ABS(K8-$B8)/$B8*100,"n/a"),"GT UNKNOWN")</f>
        <v/>
      </c>
      <c r="T8">
        <f>IF(ISNUMBER($B8),IF(ISNUMBER(L8),ABS(L8-$B8)/$B8*100,"n/a"),"GT UNKNOWN")</f>
        <v/>
      </c>
      <c r="U8">
        <f>IF(ISNUMBER($B8),IF(ISNUMBER(I8),IF(ABS(I8/$B8-1)&lt;=0.03,"MATCH (within 3%)",IF(ABS(I8/$B8-2)&lt;=0.06,"DOUBLE-TIME ERROR",IF(ABS(I8/$B8-0.5)&lt;=0.03,"HALF-TIME ERROR","BPM ERROR"))),"n/a"),"GT UNKNOWN")</f>
        <v/>
      </c>
      <c r="V8">
        <f>IF(ISNUMBER($B8),IF(ISNUMBER(J8),IF(ABS(J8/$B8-1)&lt;=0.03,"MATCH (within 3%)",IF(ABS(J8/$B8-2)&lt;=0.06,"DOUBLE-TIME ERROR",IF(ABS(J8/$B8-0.5)&lt;=0.03,"HALF-TIME ERROR","BPM ERROR"))),"n/a"),"GT UNKNOWN")</f>
        <v/>
      </c>
      <c r="W8">
        <f>IF(ISNUMBER($B8),IF(ISNUMBER(K8),IF(ABS(K8/$B8-1)&lt;=0.03,"MATCH (within 3%)",IF(ABS(K8/$B8-2)&lt;=0.06,"DOUBLE-TIME ERROR",IF(ABS(K8/$B8-0.5)&lt;=0.03,"HALF-TIME ERROR","BPM ERROR"))),"n/a"),"GT UNKNOWN")</f>
        <v/>
      </c>
      <c r="X8">
        <f>IF(ISNUMBER($B8),IF(ISNUMBER(L8),IF(ABS(L8/$B8-1)&lt;=0.03,"MATCH (within 3%)",IF(ABS(L8/$B8-2)&lt;=0.06,"DOUBLE-TIME ERROR",IF(ABS(L8/$B8-0.5)&lt;=0.03,"HALF-TIME ERROR","BPM ERROR"))),"n/a"),"GT UNKNOWN")</f>
        <v/>
      </c>
      <c r="Y8" t="n">
        <v>58.5</v>
      </c>
      <c r="Z8" t="n">
        <v>234</v>
      </c>
      <c r="AA8" t="inlineStr">
        <is>
          <t>HIGH</t>
        </is>
      </c>
      <c r="AB8" t="inlineStr">
        <is>
          <t>pulse support 6/6 methods; octave ambiguity possible - confirm by ear/metronome</t>
        </is>
      </c>
      <c r="AC8" t="n">
        <v>63</v>
      </c>
      <c r="AD8" t="n">
        <v>3.4</v>
      </c>
      <c r="AE8" t="inlineStr">
        <is>
          <t>ess_multifeature=117.9, ess_degara=118.0, lib_beat_track=120.2, tempogram=120.2, autocorr=120.2, ioi_hist=117.0</t>
        </is>
      </c>
    </row>
    <row r="9">
      <c r="A9" t="inlineStr">
        <is>
          <t>TEST_008</t>
        </is>
      </c>
      <c r="B9" s="31" t="n"/>
      <c r="C9" s="31" t="inlineStr">
        <is>
          <t>UNKNOWN - awaiting metronome setting / tap</t>
        </is>
      </c>
      <c r="D9" s="31" t="inlineStr">
        <is>
          <t>NONE</t>
        </is>
      </c>
      <c r="E9" s="31" t="n"/>
      <c r="F9" s="31" t="n"/>
      <c r="G9" t="n">
        <v>99.38</v>
      </c>
      <c r="H9" t="n">
        <v>99.5</v>
      </c>
      <c r="I9">
        <f>IFERROR(IF(INDEX(SONG_LEVEL_TRUTH!$J$2:$J$200,MATCH($A9,SONG_LEVEL_TRUTH!$A$2:$A$200,0))="","",INDEX(SONG_LEVEL_TRUTH!$J$2:$J$200,MATCH($A9,SONG_LEVEL_TRUTH!$A$2:$A$200,0))),"")</f>
        <v/>
      </c>
      <c r="J9">
        <f>IFERROR(IF(INDEX(SONG_LEVEL_TRUTH!$K$2:$K$200,MATCH($A9,SONG_LEVEL_TRUTH!$A$2:$A$200,0))="","",INDEX(SONG_LEVEL_TRUTH!$K$2:$K$200,MATCH($A9,SONG_LEVEL_TRUTH!$A$2:$A$200,0))),"")</f>
        <v/>
      </c>
      <c r="K9">
        <f>IFERROR(IF(INDEX(SONG_LEVEL_TRUTH!$L$2:$L$200,MATCH($A9,SONG_LEVEL_TRUTH!$A$2:$A$200,0))="","",INDEX(SONG_LEVEL_TRUTH!$L$2:$L$200,MATCH($A9,SONG_LEVEL_TRUTH!$A$2:$A$200,0))),"")</f>
        <v/>
      </c>
      <c r="L9">
        <f>IFERROR(IF(INDEX(SONG_LEVEL_TRUTH!$M$2:$M$200,MATCH($A9,SONG_LEVEL_TRUTH!$A$2:$A$200,0))="","",INDEX(SONG_LEVEL_TRUTH!$M$2:$M$200,MATCH($A9,SONG_LEVEL_TRUTH!$A$2:$A$200,0))),"")</f>
        <v/>
      </c>
      <c r="M9">
        <f>IF(ISNUMBER($B9),IF(ISNUMBER(I9),ABS(I9-$B9),"n/a"),"GT UNKNOWN")</f>
        <v/>
      </c>
      <c r="N9">
        <f>IF(ISNUMBER($B9),IF(ISNUMBER(J9),ABS(J9-$B9),"n/a"),"GT UNKNOWN")</f>
        <v/>
      </c>
      <c r="O9">
        <f>IF(ISNUMBER($B9),IF(ISNUMBER(K9),ABS(K9-$B9),"n/a"),"GT UNKNOWN")</f>
        <v/>
      </c>
      <c r="P9">
        <f>IF(ISNUMBER($B9),IF(ISNUMBER(L9),ABS(L9-$B9),"n/a"),"GT UNKNOWN")</f>
        <v/>
      </c>
      <c r="Q9">
        <f>IF(ISNUMBER($B9),IF(ISNUMBER(I9),ABS(I9-$B9)/$B9*100,"n/a"),"GT UNKNOWN")</f>
        <v/>
      </c>
      <c r="R9">
        <f>IF(ISNUMBER($B9),IF(ISNUMBER(J9),ABS(J9-$B9)/$B9*100,"n/a"),"GT UNKNOWN")</f>
        <v/>
      </c>
      <c r="S9">
        <f>IF(ISNUMBER($B9),IF(ISNUMBER(K9),ABS(K9-$B9)/$B9*100,"n/a"),"GT UNKNOWN")</f>
        <v/>
      </c>
      <c r="T9">
        <f>IF(ISNUMBER($B9),IF(ISNUMBER(L9),ABS(L9-$B9)/$B9*100,"n/a"),"GT UNKNOWN")</f>
        <v/>
      </c>
      <c r="U9">
        <f>IF(ISNUMBER($B9),IF(ISNUMBER(I9),IF(ABS(I9/$B9-1)&lt;=0.03,"MATCH (within 3%)",IF(ABS(I9/$B9-2)&lt;=0.06,"DOUBLE-TIME ERROR",IF(ABS(I9/$B9-0.5)&lt;=0.03,"HALF-TIME ERROR","BPM ERROR"))),"n/a"),"GT UNKNOWN")</f>
        <v/>
      </c>
      <c r="V9">
        <f>IF(ISNUMBER($B9),IF(ISNUMBER(J9),IF(ABS(J9/$B9-1)&lt;=0.03,"MATCH (within 3%)",IF(ABS(J9/$B9-2)&lt;=0.06,"DOUBLE-TIME ERROR",IF(ABS(J9/$B9-0.5)&lt;=0.03,"HALF-TIME ERROR","BPM ERROR"))),"n/a"),"GT UNKNOWN")</f>
        <v/>
      </c>
      <c r="W9">
        <f>IF(ISNUMBER($B9),IF(ISNUMBER(K9),IF(ABS(K9/$B9-1)&lt;=0.03,"MATCH (within 3%)",IF(ABS(K9/$B9-2)&lt;=0.06,"DOUBLE-TIME ERROR",IF(ABS(K9/$B9-0.5)&lt;=0.03,"HALF-TIME ERROR","BPM ERROR"))),"n/a"),"GT UNKNOWN")</f>
        <v/>
      </c>
      <c r="X9">
        <f>IF(ISNUMBER($B9),IF(ISNUMBER(L9),IF(ABS(L9/$B9-1)&lt;=0.03,"MATCH (within 3%)",IF(ABS(L9/$B9-2)&lt;=0.06,"DOUBLE-TIME ERROR",IF(ABS(L9/$B9-0.5)&lt;=0.03,"HALF-TIME ERROR","BPM ERROR"))),"n/a"),"GT UNKNOWN")</f>
        <v/>
      </c>
      <c r="Y9" t="n">
        <v>49.8</v>
      </c>
      <c r="Z9" t="n">
        <v>199</v>
      </c>
      <c r="AA9" t="inlineStr">
        <is>
          <t>MEDIUM</t>
        </is>
      </c>
      <c r="AB9" t="inlineStr">
        <is>
          <t>pulse support 3/6 methods; octave ambiguity possible - confirm by ear/metronome</t>
        </is>
      </c>
      <c r="AC9" t="n">
        <v>49</v>
      </c>
      <c r="AD9" t="n">
        <v>2.9</v>
      </c>
      <c r="AE9" t="inlineStr">
        <is>
          <t>ess_multifeature=98.8, ess_degara=98.9, lib_beat_track=99.4, tempogram=198.8, autocorr=198.8, ioi_hist=199.0</t>
        </is>
      </c>
    </row>
    <row r="10">
      <c r="A10" t="inlineStr">
        <is>
          <t>TEST_009</t>
        </is>
      </c>
      <c r="B10" s="31" t="n"/>
      <c r="C10" s="31" t="inlineStr">
        <is>
          <t>UNKNOWN - awaiting metronome setting / tap</t>
        </is>
      </c>
      <c r="D10" s="31" t="inlineStr">
        <is>
          <t>NONE</t>
        </is>
      </c>
      <c r="E10" s="31" t="n"/>
      <c r="F10" s="31" t="n"/>
      <c r="G10" t="n">
        <v>103.36</v>
      </c>
      <c r="H10" t="n">
        <v>104.4</v>
      </c>
      <c r="I10">
        <f>IFERROR(IF(INDEX(SONG_LEVEL_TRUTH!$J$2:$J$200,MATCH($A10,SONG_LEVEL_TRUTH!$A$2:$A$200,0))="","",INDEX(SONG_LEVEL_TRUTH!$J$2:$J$200,MATCH($A10,SONG_LEVEL_TRUTH!$A$2:$A$200,0))),"")</f>
        <v/>
      </c>
      <c r="J10">
        <f>IFERROR(IF(INDEX(SONG_LEVEL_TRUTH!$K$2:$K$200,MATCH($A10,SONG_LEVEL_TRUTH!$A$2:$A$200,0))="","",INDEX(SONG_LEVEL_TRUTH!$K$2:$K$200,MATCH($A10,SONG_LEVEL_TRUTH!$A$2:$A$200,0))),"")</f>
        <v/>
      </c>
      <c r="K10">
        <f>IFERROR(IF(INDEX(SONG_LEVEL_TRUTH!$L$2:$L$200,MATCH($A10,SONG_LEVEL_TRUTH!$A$2:$A$200,0))="","",INDEX(SONG_LEVEL_TRUTH!$L$2:$L$200,MATCH($A10,SONG_LEVEL_TRUTH!$A$2:$A$200,0))),"")</f>
        <v/>
      </c>
      <c r="L10">
        <f>IFERROR(IF(INDEX(SONG_LEVEL_TRUTH!$M$2:$M$200,MATCH($A10,SONG_LEVEL_TRUTH!$A$2:$A$200,0))="","",INDEX(SONG_LEVEL_TRUTH!$M$2:$M$200,MATCH($A10,SONG_LEVEL_TRUTH!$A$2:$A$200,0))),"")</f>
        <v/>
      </c>
      <c r="M10">
        <f>IF(ISNUMBER($B10),IF(ISNUMBER(I10),ABS(I10-$B10),"n/a"),"GT UNKNOWN")</f>
        <v/>
      </c>
      <c r="N10">
        <f>IF(ISNUMBER($B10),IF(ISNUMBER(J10),ABS(J10-$B10),"n/a"),"GT UNKNOWN")</f>
        <v/>
      </c>
      <c r="O10">
        <f>IF(ISNUMBER($B10),IF(ISNUMBER(K10),ABS(K10-$B10),"n/a"),"GT UNKNOWN")</f>
        <v/>
      </c>
      <c r="P10">
        <f>IF(ISNUMBER($B10),IF(ISNUMBER(L10),ABS(L10-$B10),"n/a"),"GT UNKNOWN")</f>
        <v/>
      </c>
      <c r="Q10">
        <f>IF(ISNUMBER($B10),IF(ISNUMBER(I10),ABS(I10-$B10)/$B10*100,"n/a"),"GT UNKNOWN")</f>
        <v/>
      </c>
      <c r="R10">
        <f>IF(ISNUMBER($B10),IF(ISNUMBER(J10),ABS(J10-$B10)/$B10*100,"n/a"),"GT UNKNOWN")</f>
        <v/>
      </c>
      <c r="S10">
        <f>IF(ISNUMBER($B10),IF(ISNUMBER(K10),ABS(K10-$B10)/$B10*100,"n/a"),"GT UNKNOWN")</f>
        <v/>
      </c>
      <c r="T10">
        <f>IF(ISNUMBER($B10),IF(ISNUMBER(L10),ABS(L10-$B10)/$B10*100,"n/a"),"GT UNKNOWN")</f>
        <v/>
      </c>
      <c r="U10">
        <f>IF(ISNUMBER($B10),IF(ISNUMBER(I10),IF(ABS(I10/$B10-1)&lt;=0.03,"MATCH (within 3%)",IF(ABS(I10/$B10-2)&lt;=0.06,"DOUBLE-TIME ERROR",IF(ABS(I10/$B10-0.5)&lt;=0.03,"HALF-TIME ERROR","BPM ERROR"))),"n/a"),"GT UNKNOWN")</f>
        <v/>
      </c>
      <c r="V10">
        <f>IF(ISNUMBER($B10),IF(ISNUMBER(J10),IF(ABS(J10/$B10-1)&lt;=0.03,"MATCH (within 3%)",IF(ABS(J10/$B10-2)&lt;=0.06,"DOUBLE-TIME ERROR",IF(ABS(J10/$B10-0.5)&lt;=0.03,"HALF-TIME ERROR","BPM ERROR"))),"n/a"),"GT UNKNOWN")</f>
        <v/>
      </c>
      <c r="W10">
        <f>IF(ISNUMBER($B10),IF(ISNUMBER(K10),IF(ABS(K10/$B10-1)&lt;=0.03,"MATCH (within 3%)",IF(ABS(K10/$B10-2)&lt;=0.06,"DOUBLE-TIME ERROR",IF(ABS(K10/$B10-0.5)&lt;=0.03,"HALF-TIME ERROR","BPM ERROR"))),"n/a"),"GT UNKNOWN")</f>
        <v/>
      </c>
      <c r="X10">
        <f>IF(ISNUMBER($B10),IF(ISNUMBER(L10),IF(ABS(L10/$B10-1)&lt;=0.03,"MATCH (within 3%)",IF(ABS(L10/$B10-2)&lt;=0.06,"DOUBLE-TIME ERROR",IF(ABS(L10/$B10-0.5)&lt;=0.03,"HALF-TIME ERROR","BPM ERROR"))),"n/a"),"GT UNKNOWN")</f>
        <v/>
      </c>
      <c r="Y10" t="n">
        <v>52.2</v>
      </c>
      <c r="Z10" t="n">
        <v>208.8</v>
      </c>
      <c r="AA10" t="inlineStr">
        <is>
          <t>LOW</t>
        </is>
      </c>
      <c r="AB10" t="inlineStr">
        <is>
          <t>methods disagree (octave/tempo ambiguity); pulse support 2/6 methods; octave ambiguity possible - confirm by ear/metronome</t>
        </is>
      </c>
      <c r="AC10" t="n">
        <v>118</v>
      </c>
      <c r="AD10" t="n">
        <v>0</v>
      </c>
      <c r="AE10" t="inlineStr">
        <is>
          <t>ess_multifeature=104.0, ess_degara=104.0, lib_beat_track=139.7, tempogram=206.7, autocorr=52.2, ioi_hist=207.0</t>
        </is>
      </c>
    </row>
    <row r="11">
      <c r="A11" t="inlineStr">
        <is>
          <t>TEST_010</t>
        </is>
      </c>
      <c r="B11" s="31" t="n"/>
      <c r="C11" s="31" t="inlineStr">
        <is>
          <t>UNKNOWN - awaiting metronome setting / tap</t>
        </is>
      </c>
      <c r="D11" s="31" t="inlineStr">
        <is>
          <t>NONE</t>
        </is>
      </c>
      <c r="E11" s="31" t="n"/>
      <c r="F11" s="31" t="n"/>
      <c r="G11" t="n">
        <v>112.35</v>
      </c>
      <c r="H11" t="n">
        <v>111.6</v>
      </c>
      <c r="I11">
        <f>IFERROR(IF(INDEX(SONG_LEVEL_TRUTH!$J$2:$J$200,MATCH($A11,SONG_LEVEL_TRUTH!$A$2:$A$200,0))="","",INDEX(SONG_LEVEL_TRUTH!$J$2:$J$200,MATCH($A11,SONG_LEVEL_TRUTH!$A$2:$A$200,0))),"")</f>
        <v/>
      </c>
      <c r="J11">
        <f>IFERROR(IF(INDEX(SONG_LEVEL_TRUTH!$K$2:$K$200,MATCH($A11,SONG_LEVEL_TRUTH!$A$2:$A$200,0))="","",INDEX(SONG_LEVEL_TRUTH!$K$2:$K$200,MATCH($A11,SONG_LEVEL_TRUTH!$A$2:$A$200,0))),"")</f>
        <v/>
      </c>
      <c r="K11">
        <f>IFERROR(IF(INDEX(SONG_LEVEL_TRUTH!$L$2:$L$200,MATCH($A11,SONG_LEVEL_TRUTH!$A$2:$A$200,0))="","",INDEX(SONG_LEVEL_TRUTH!$L$2:$L$200,MATCH($A11,SONG_LEVEL_TRUTH!$A$2:$A$200,0))),"")</f>
        <v/>
      </c>
      <c r="L11">
        <f>IFERROR(IF(INDEX(SONG_LEVEL_TRUTH!$M$2:$M$200,MATCH($A11,SONG_LEVEL_TRUTH!$A$2:$A$200,0))="","",INDEX(SONG_LEVEL_TRUTH!$M$2:$M$200,MATCH($A11,SONG_LEVEL_TRUTH!$A$2:$A$200,0))),"")</f>
        <v/>
      </c>
      <c r="M11">
        <f>IF(ISNUMBER($B11),IF(ISNUMBER(I11),ABS(I11-$B11),"n/a"),"GT UNKNOWN")</f>
        <v/>
      </c>
      <c r="N11">
        <f>IF(ISNUMBER($B11),IF(ISNUMBER(J11),ABS(J11-$B11),"n/a"),"GT UNKNOWN")</f>
        <v/>
      </c>
      <c r="O11">
        <f>IF(ISNUMBER($B11),IF(ISNUMBER(K11),ABS(K11-$B11),"n/a"),"GT UNKNOWN")</f>
        <v/>
      </c>
      <c r="P11">
        <f>IF(ISNUMBER($B11),IF(ISNUMBER(L11),ABS(L11-$B11),"n/a"),"GT UNKNOWN")</f>
        <v/>
      </c>
      <c r="Q11">
        <f>IF(ISNUMBER($B11),IF(ISNUMBER(I11),ABS(I11-$B11)/$B11*100,"n/a"),"GT UNKNOWN")</f>
        <v/>
      </c>
      <c r="R11">
        <f>IF(ISNUMBER($B11),IF(ISNUMBER(J11),ABS(J11-$B11)/$B11*100,"n/a"),"GT UNKNOWN")</f>
        <v/>
      </c>
      <c r="S11">
        <f>IF(ISNUMBER($B11),IF(ISNUMBER(K11),ABS(K11-$B11)/$B11*100,"n/a"),"GT UNKNOWN")</f>
        <v/>
      </c>
      <c r="T11">
        <f>IF(ISNUMBER($B11),IF(ISNUMBER(L11),ABS(L11-$B11)/$B11*100,"n/a"),"GT UNKNOWN")</f>
        <v/>
      </c>
      <c r="U11">
        <f>IF(ISNUMBER($B11),IF(ISNUMBER(I11),IF(ABS(I11/$B11-1)&lt;=0.03,"MATCH (within 3%)",IF(ABS(I11/$B11-2)&lt;=0.06,"DOUBLE-TIME ERROR",IF(ABS(I11/$B11-0.5)&lt;=0.03,"HALF-TIME ERROR","BPM ERROR"))),"n/a"),"GT UNKNOWN")</f>
        <v/>
      </c>
      <c r="V11">
        <f>IF(ISNUMBER($B11),IF(ISNUMBER(J11),IF(ABS(J11/$B11-1)&lt;=0.03,"MATCH (within 3%)",IF(ABS(J11/$B11-2)&lt;=0.06,"DOUBLE-TIME ERROR",IF(ABS(J11/$B11-0.5)&lt;=0.03,"HALF-TIME ERROR","BPM ERROR"))),"n/a"),"GT UNKNOWN")</f>
        <v/>
      </c>
      <c r="W11">
        <f>IF(ISNUMBER($B11),IF(ISNUMBER(K11),IF(ABS(K11/$B11-1)&lt;=0.03,"MATCH (within 3%)",IF(ABS(K11/$B11-2)&lt;=0.06,"DOUBLE-TIME ERROR",IF(ABS(K11/$B11-0.5)&lt;=0.03,"HALF-TIME ERROR","BPM ERROR"))),"n/a"),"GT UNKNOWN")</f>
        <v/>
      </c>
      <c r="X11">
        <f>IF(ISNUMBER($B11),IF(ISNUMBER(L11),IF(ABS(L11/$B11-1)&lt;=0.03,"MATCH (within 3%)",IF(ABS(L11/$B11-2)&lt;=0.06,"DOUBLE-TIME ERROR",IF(ABS(L11/$B11-0.5)&lt;=0.03,"HALF-TIME ERROR","BPM ERROR"))),"n/a"),"GT UNKNOWN")</f>
        <v/>
      </c>
      <c r="Y11" t="n">
        <v>55.8</v>
      </c>
      <c r="Z11" t="n">
        <v>223.3</v>
      </c>
      <c r="AA11" t="inlineStr">
        <is>
          <t>HIGH</t>
        </is>
      </c>
      <c r="AB11" t="inlineStr">
        <is>
          <t>pulse support 5/6 methods; octave ambiguity possible - confirm by ear/metronome</t>
        </is>
      </c>
      <c r="AC11" t="n">
        <v>143</v>
      </c>
      <c r="AD11" t="n">
        <v>3.2</v>
      </c>
      <c r="AE11" t="inlineStr">
        <is>
          <t>ess_multifeature=111.6, ess_degara=112.0, lib_beat_track=112.3, tempogram=112.3, autocorr=112.3, ioi_hist=173.0</t>
        </is>
      </c>
    </row>
    <row r="12">
      <c r="A12" t="inlineStr">
        <is>
          <t>TEST_011</t>
        </is>
      </c>
      <c r="B12" s="31" t="n"/>
      <c r="C12" s="31" t="inlineStr">
        <is>
          <t>UNKNOWN - awaiting metronome setting / tap</t>
        </is>
      </c>
      <c r="D12" s="31" t="inlineStr">
        <is>
          <t>NONE</t>
        </is>
      </c>
      <c r="E12" s="31" t="n"/>
      <c r="F12" s="31" t="n"/>
      <c r="G12" t="n">
        <v>123.05</v>
      </c>
      <c r="H12" t="n">
        <v>121.6</v>
      </c>
      <c r="I12">
        <f>IFERROR(IF(INDEX(SONG_LEVEL_TRUTH!$J$2:$J$200,MATCH($A12,SONG_LEVEL_TRUTH!$A$2:$A$200,0))="","",INDEX(SONG_LEVEL_TRUTH!$J$2:$J$200,MATCH($A12,SONG_LEVEL_TRUTH!$A$2:$A$200,0))),"")</f>
        <v/>
      </c>
      <c r="J12">
        <f>IFERROR(IF(INDEX(SONG_LEVEL_TRUTH!$K$2:$K$200,MATCH($A12,SONG_LEVEL_TRUTH!$A$2:$A$200,0))="","",INDEX(SONG_LEVEL_TRUTH!$K$2:$K$200,MATCH($A12,SONG_LEVEL_TRUTH!$A$2:$A$200,0))),"")</f>
        <v/>
      </c>
      <c r="K12">
        <f>IFERROR(IF(INDEX(SONG_LEVEL_TRUTH!$L$2:$L$200,MATCH($A12,SONG_LEVEL_TRUTH!$A$2:$A$200,0))="","",INDEX(SONG_LEVEL_TRUTH!$L$2:$L$200,MATCH($A12,SONG_LEVEL_TRUTH!$A$2:$A$200,0))),"")</f>
        <v/>
      </c>
      <c r="L12">
        <f>IFERROR(IF(INDEX(SONG_LEVEL_TRUTH!$M$2:$M$200,MATCH($A12,SONG_LEVEL_TRUTH!$A$2:$A$200,0))="","",INDEX(SONG_LEVEL_TRUTH!$M$2:$M$200,MATCH($A12,SONG_LEVEL_TRUTH!$A$2:$A$200,0))),"")</f>
        <v/>
      </c>
      <c r="M12">
        <f>IF(ISNUMBER($B12),IF(ISNUMBER(I12),ABS(I12-$B12),"n/a"),"GT UNKNOWN")</f>
        <v/>
      </c>
      <c r="N12">
        <f>IF(ISNUMBER($B12),IF(ISNUMBER(J12),ABS(J12-$B12),"n/a"),"GT UNKNOWN")</f>
        <v/>
      </c>
      <c r="O12">
        <f>IF(ISNUMBER($B12),IF(ISNUMBER(K12),ABS(K12-$B12),"n/a"),"GT UNKNOWN")</f>
        <v/>
      </c>
      <c r="P12">
        <f>IF(ISNUMBER($B12),IF(ISNUMBER(L12),ABS(L12-$B12),"n/a"),"GT UNKNOWN")</f>
        <v/>
      </c>
      <c r="Q12">
        <f>IF(ISNUMBER($B12),IF(ISNUMBER(I12),ABS(I12-$B12)/$B12*100,"n/a"),"GT UNKNOWN")</f>
        <v/>
      </c>
      <c r="R12">
        <f>IF(ISNUMBER($B12),IF(ISNUMBER(J12),ABS(J12-$B12)/$B12*100,"n/a"),"GT UNKNOWN")</f>
        <v/>
      </c>
      <c r="S12">
        <f>IF(ISNUMBER($B12),IF(ISNUMBER(K12),ABS(K12-$B12)/$B12*100,"n/a"),"GT UNKNOWN")</f>
        <v/>
      </c>
      <c r="T12">
        <f>IF(ISNUMBER($B12),IF(ISNUMBER(L12),ABS(L12-$B12)/$B12*100,"n/a"),"GT UNKNOWN")</f>
        <v/>
      </c>
      <c r="U12">
        <f>IF(ISNUMBER($B12),IF(ISNUMBER(I12),IF(ABS(I12/$B12-1)&lt;=0.03,"MATCH (within 3%)",IF(ABS(I12/$B12-2)&lt;=0.06,"DOUBLE-TIME ERROR",IF(ABS(I12/$B12-0.5)&lt;=0.03,"HALF-TIME ERROR","BPM ERROR"))),"n/a"),"GT UNKNOWN")</f>
        <v/>
      </c>
      <c r="V12">
        <f>IF(ISNUMBER($B12),IF(ISNUMBER(J12),IF(ABS(J12/$B12-1)&lt;=0.03,"MATCH (within 3%)",IF(ABS(J12/$B12-2)&lt;=0.06,"DOUBLE-TIME ERROR",IF(ABS(J12/$B12-0.5)&lt;=0.03,"HALF-TIME ERROR","BPM ERROR"))),"n/a"),"GT UNKNOWN")</f>
        <v/>
      </c>
      <c r="W12">
        <f>IF(ISNUMBER($B12),IF(ISNUMBER(K12),IF(ABS(K12/$B12-1)&lt;=0.03,"MATCH (within 3%)",IF(ABS(K12/$B12-2)&lt;=0.06,"DOUBLE-TIME ERROR",IF(ABS(K12/$B12-0.5)&lt;=0.03,"HALF-TIME ERROR","BPM ERROR"))),"n/a"),"GT UNKNOWN")</f>
        <v/>
      </c>
      <c r="X12">
        <f>IF(ISNUMBER($B12),IF(ISNUMBER(L12),IF(ABS(L12/$B12-1)&lt;=0.03,"MATCH (within 3%)",IF(ABS(L12/$B12-2)&lt;=0.06,"DOUBLE-TIME ERROR",IF(ABS(L12/$B12-0.5)&lt;=0.03,"HALF-TIME ERROR","BPM ERROR"))),"n/a"),"GT UNKNOWN")</f>
        <v/>
      </c>
      <c r="Y12" t="n">
        <v>60.8</v>
      </c>
      <c r="Z12" t="n">
        <v>243.2</v>
      </c>
      <c r="AA12" t="inlineStr">
        <is>
          <t>HIGH</t>
        </is>
      </c>
      <c r="AB12" t="inlineStr">
        <is>
          <t>pulse support 4/6 methods; octave ambiguity possible - confirm by ear/metronome</t>
        </is>
      </c>
      <c r="AC12" t="n">
        <v>196</v>
      </c>
      <c r="AD12" t="n">
        <v>0</v>
      </c>
      <c r="AE12" t="inlineStr">
        <is>
          <t>ess_multifeature=122.1, ess_degara=122.1, lib_beat_track=123.0, tempogram=123.0, autocorr=60.8, ioi_hist=247.0</t>
        </is>
      </c>
    </row>
    <row r="13">
      <c r="A13" t="inlineStr">
        <is>
          <t>TEST_012</t>
        </is>
      </c>
      <c r="B13" s="31" t="n"/>
      <c r="C13" s="31" t="inlineStr">
        <is>
          <t>UNKNOWN - awaiting metronome setting / tap</t>
        </is>
      </c>
      <c r="D13" s="31" t="inlineStr">
        <is>
          <t>NONE</t>
        </is>
      </c>
      <c r="E13" s="31" t="n"/>
      <c r="F13" s="31" t="n"/>
      <c r="G13" t="n">
        <v>117.45</v>
      </c>
      <c r="H13" t="n">
        <v>117.5</v>
      </c>
      <c r="I13">
        <f>IFERROR(IF(INDEX(SONG_LEVEL_TRUTH!$J$2:$J$200,MATCH($A13,SONG_LEVEL_TRUTH!$A$2:$A$200,0))="","",INDEX(SONG_LEVEL_TRUTH!$J$2:$J$200,MATCH($A13,SONG_LEVEL_TRUTH!$A$2:$A$200,0))),"")</f>
        <v/>
      </c>
      <c r="J13">
        <f>IFERROR(IF(INDEX(SONG_LEVEL_TRUTH!$K$2:$K$200,MATCH($A13,SONG_LEVEL_TRUTH!$A$2:$A$200,0))="","",INDEX(SONG_LEVEL_TRUTH!$K$2:$K$200,MATCH($A13,SONG_LEVEL_TRUTH!$A$2:$A$200,0))),"")</f>
        <v/>
      </c>
      <c r="K13">
        <f>IFERROR(IF(INDEX(SONG_LEVEL_TRUTH!$L$2:$L$200,MATCH($A13,SONG_LEVEL_TRUTH!$A$2:$A$200,0))="","",INDEX(SONG_LEVEL_TRUTH!$L$2:$L$200,MATCH($A13,SONG_LEVEL_TRUTH!$A$2:$A$200,0))),"")</f>
        <v/>
      </c>
      <c r="L13">
        <f>IFERROR(IF(INDEX(SONG_LEVEL_TRUTH!$M$2:$M$200,MATCH($A13,SONG_LEVEL_TRUTH!$A$2:$A$200,0))="","",INDEX(SONG_LEVEL_TRUTH!$M$2:$M$200,MATCH($A13,SONG_LEVEL_TRUTH!$A$2:$A$200,0))),"")</f>
        <v/>
      </c>
      <c r="M13">
        <f>IF(ISNUMBER($B13),IF(ISNUMBER(I13),ABS(I13-$B13),"n/a"),"GT UNKNOWN")</f>
        <v/>
      </c>
      <c r="N13">
        <f>IF(ISNUMBER($B13),IF(ISNUMBER(J13),ABS(J13-$B13),"n/a"),"GT UNKNOWN")</f>
        <v/>
      </c>
      <c r="O13">
        <f>IF(ISNUMBER($B13),IF(ISNUMBER(K13),ABS(K13-$B13),"n/a"),"GT UNKNOWN")</f>
        <v/>
      </c>
      <c r="P13">
        <f>IF(ISNUMBER($B13),IF(ISNUMBER(L13),ABS(L13-$B13),"n/a"),"GT UNKNOWN")</f>
        <v/>
      </c>
      <c r="Q13">
        <f>IF(ISNUMBER($B13),IF(ISNUMBER(I13),ABS(I13-$B13)/$B13*100,"n/a"),"GT UNKNOWN")</f>
        <v/>
      </c>
      <c r="R13">
        <f>IF(ISNUMBER($B13),IF(ISNUMBER(J13),ABS(J13-$B13)/$B13*100,"n/a"),"GT UNKNOWN")</f>
        <v/>
      </c>
      <c r="S13">
        <f>IF(ISNUMBER($B13),IF(ISNUMBER(K13),ABS(K13-$B13)/$B13*100,"n/a"),"GT UNKNOWN")</f>
        <v/>
      </c>
      <c r="T13">
        <f>IF(ISNUMBER($B13),IF(ISNUMBER(L13),ABS(L13-$B13)/$B13*100,"n/a"),"GT UNKNOWN")</f>
        <v/>
      </c>
      <c r="U13">
        <f>IF(ISNUMBER($B13),IF(ISNUMBER(I13),IF(ABS(I13/$B13-1)&lt;=0.03,"MATCH (within 3%)",IF(ABS(I13/$B13-2)&lt;=0.06,"DOUBLE-TIME ERROR",IF(ABS(I13/$B13-0.5)&lt;=0.03,"HALF-TIME ERROR","BPM ERROR"))),"n/a"),"GT UNKNOWN")</f>
        <v/>
      </c>
      <c r="V13">
        <f>IF(ISNUMBER($B13),IF(ISNUMBER(J13),IF(ABS(J13/$B13-1)&lt;=0.03,"MATCH (within 3%)",IF(ABS(J13/$B13-2)&lt;=0.06,"DOUBLE-TIME ERROR",IF(ABS(J13/$B13-0.5)&lt;=0.03,"HALF-TIME ERROR","BPM ERROR"))),"n/a"),"GT UNKNOWN")</f>
        <v/>
      </c>
      <c r="W13">
        <f>IF(ISNUMBER($B13),IF(ISNUMBER(K13),IF(ABS(K13/$B13-1)&lt;=0.03,"MATCH (within 3%)",IF(ABS(K13/$B13-2)&lt;=0.06,"DOUBLE-TIME ERROR",IF(ABS(K13/$B13-0.5)&lt;=0.03,"HALF-TIME ERROR","BPM ERROR"))),"n/a"),"GT UNKNOWN")</f>
        <v/>
      </c>
      <c r="X13">
        <f>IF(ISNUMBER($B13),IF(ISNUMBER(L13),IF(ABS(L13/$B13-1)&lt;=0.03,"MATCH (within 3%)",IF(ABS(L13/$B13-2)&lt;=0.06,"DOUBLE-TIME ERROR",IF(ABS(L13/$B13-0.5)&lt;=0.03,"HALF-TIME ERROR","BPM ERROR"))),"n/a"),"GT UNKNOWN")</f>
        <v/>
      </c>
      <c r="Y13" t="n">
        <v>58.7</v>
      </c>
      <c r="Z13" t="n">
        <v>234.9</v>
      </c>
      <c r="AA13" t="inlineStr">
        <is>
          <t>MEDIUM</t>
        </is>
      </c>
      <c r="AB13" t="inlineStr">
        <is>
          <t>pulse support 3/6 methods; octave ambiguity possible - confirm by ear/metronome</t>
        </is>
      </c>
      <c r="AC13" t="n">
        <v>79</v>
      </c>
      <c r="AD13" t="n">
        <v>3.4</v>
      </c>
      <c r="AE13" t="inlineStr">
        <is>
          <t>ess_multifeature=119.7, ess_degara=89.2, lib_beat_track=117.5, tempogram=184.6, autocorr=117.5, ioi_hist=191.0</t>
        </is>
      </c>
    </row>
    <row r="14">
      <c r="A14" t="inlineStr">
        <is>
          <t>TEST_013</t>
        </is>
      </c>
      <c r="B14" s="31" t="n"/>
      <c r="C14" s="31" t="inlineStr">
        <is>
          <t>UNKNOWN - awaiting metronome setting / tap</t>
        </is>
      </c>
      <c r="D14" s="31" t="inlineStr">
        <is>
          <t>NONE</t>
        </is>
      </c>
      <c r="E14" s="31" t="n"/>
      <c r="F14" s="31" t="n"/>
      <c r="G14" t="n">
        <v>103.36</v>
      </c>
      <c r="H14" t="n">
        <v>103.4</v>
      </c>
      <c r="I14">
        <f>IFERROR(IF(INDEX(SONG_LEVEL_TRUTH!$J$2:$J$200,MATCH($A14,SONG_LEVEL_TRUTH!$A$2:$A$200,0))="","",INDEX(SONG_LEVEL_TRUTH!$J$2:$J$200,MATCH($A14,SONG_LEVEL_TRUTH!$A$2:$A$200,0))),"")</f>
        <v/>
      </c>
      <c r="J14">
        <f>IFERROR(IF(INDEX(SONG_LEVEL_TRUTH!$K$2:$K$200,MATCH($A14,SONG_LEVEL_TRUTH!$A$2:$A$200,0))="","",INDEX(SONG_LEVEL_TRUTH!$K$2:$K$200,MATCH($A14,SONG_LEVEL_TRUTH!$A$2:$A$200,0))),"")</f>
        <v/>
      </c>
      <c r="K14">
        <f>IFERROR(IF(INDEX(SONG_LEVEL_TRUTH!$L$2:$L$200,MATCH($A14,SONG_LEVEL_TRUTH!$A$2:$A$200,0))="","",INDEX(SONG_LEVEL_TRUTH!$L$2:$L$200,MATCH($A14,SONG_LEVEL_TRUTH!$A$2:$A$200,0))),"")</f>
        <v/>
      </c>
      <c r="L14">
        <f>IFERROR(IF(INDEX(SONG_LEVEL_TRUTH!$M$2:$M$200,MATCH($A14,SONG_LEVEL_TRUTH!$A$2:$A$200,0))="","",INDEX(SONG_LEVEL_TRUTH!$M$2:$M$200,MATCH($A14,SONG_LEVEL_TRUTH!$A$2:$A$200,0))),"")</f>
        <v/>
      </c>
      <c r="M14">
        <f>IF(ISNUMBER($B14),IF(ISNUMBER(I14),ABS(I14-$B14),"n/a"),"GT UNKNOWN")</f>
        <v/>
      </c>
      <c r="N14">
        <f>IF(ISNUMBER($B14),IF(ISNUMBER(J14),ABS(J14-$B14),"n/a"),"GT UNKNOWN")</f>
        <v/>
      </c>
      <c r="O14">
        <f>IF(ISNUMBER($B14),IF(ISNUMBER(K14),ABS(K14-$B14),"n/a"),"GT UNKNOWN")</f>
        <v/>
      </c>
      <c r="P14">
        <f>IF(ISNUMBER($B14),IF(ISNUMBER(L14),ABS(L14-$B14),"n/a"),"GT UNKNOWN")</f>
        <v/>
      </c>
      <c r="Q14">
        <f>IF(ISNUMBER($B14),IF(ISNUMBER(I14),ABS(I14-$B14)/$B14*100,"n/a"),"GT UNKNOWN")</f>
        <v/>
      </c>
      <c r="R14">
        <f>IF(ISNUMBER($B14),IF(ISNUMBER(J14),ABS(J14-$B14)/$B14*100,"n/a"),"GT UNKNOWN")</f>
        <v/>
      </c>
      <c r="S14">
        <f>IF(ISNUMBER($B14),IF(ISNUMBER(K14),ABS(K14-$B14)/$B14*100,"n/a"),"GT UNKNOWN")</f>
        <v/>
      </c>
      <c r="T14">
        <f>IF(ISNUMBER($B14),IF(ISNUMBER(L14),ABS(L14-$B14)/$B14*100,"n/a"),"GT UNKNOWN")</f>
        <v/>
      </c>
      <c r="U14">
        <f>IF(ISNUMBER($B14),IF(ISNUMBER(I14),IF(ABS(I14/$B14-1)&lt;=0.03,"MATCH (within 3%)",IF(ABS(I14/$B14-2)&lt;=0.06,"DOUBLE-TIME ERROR",IF(ABS(I14/$B14-0.5)&lt;=0.03,"HALF-TIME ERROR","BPM ERROR"))),"n/a"),"GT UNKNOWN")</f>
        <v/>
      </c>
      <c r="V14">
        <f>IF(ISNUMBER($B14),IF(ISNUMBER(J14),IF(ABS(J14/$B14-1)&lt;=0.03,"MATCH (within 3%)",IF(ABS(J14/$B14-2)&lt;=0.06,"DOUBLE-TIME ERROR",IF(ABS(J14/$B14-0.5)&lt;=0.03,"HALF-TIME ERROR","BPM ERROR"))),"n/a"),"GT UNKNOWN")</f>
        <v/>
      </c>
      <c r="W14">
        <f>IF(ISNUMBER($B14),IF(ISNUMBER(K14),IF(ABS(K14/$B14-1)&lt;=0.03,"MATCH (within 3%)",IF(ABS(K14/$B14-2)&lt;=0.06,"DOUBLE-TIME ERROR",IF(ABS(K14/$B14-0.5)&lt;=0.03,"HALF-TIME ERROR","BPM ERROR"))),"n/a"),"GT UNKNOWN")</f>
        <v/>
      </c>
      <c r="X14">
        <f>IF(ISNUMBER($B14),IF(ISNUMBER(L14),IF(ABS(L14/$B14-1)&lt;=0.03,"MATCH (within 3%)",IF(ABS(L14/$B14-2)&lt;=0.06,"DOUBLE-TIME ERROR",IF(ABS(L14/$B14-0.5)&lt;=0.03,"HALF-TIME ERROR","BPM ERROR"))),"n/a"),"GT UNKNOWN")</f>
        <v/>
      </c>
      <c r="Y14" t="n">
        <v>51.7</v>
      </c>
      <c r="Z14" t="n">
        <v>206.7</v>
      </c>
      <c r="AA14" t="inlineStr">
        <is>
          <t>MEDIUM</t>
        </is>
      </c>
      <c r="AB14" t="inlineStr">
        <is>
          <t>pulse support 4/6 methods; octave ambiguity possible - confirm by ear/metronome</t>
        </is>
      </c>
      <c r="AC14" t="n">
        <v>135</v>
      </c>
      <c r="AD14" t="n">
        <v>5.9</v>
      </c>
      <c r="AE14" t="inlineStr">
        <is>
          <t>ess_multifeature=102.7, ess_degara=102.0, lib_beat_track=103.4, tempogram=215.3, autocorr=103.4, ioi_hist=215.0</t>
        </is>
      </c>
    </row>
    <row r="15">
      <c r="A15" t="inlineStr">
        <is>
          <t>TEST_014</t>
        </is>
      </c>
      <c r="B15" s="31" t="n"/>
      <c r="C15" s="31" t="inlineStr">
        <is>
          <t>UNKNOWN - awaiting metronome setting / tap</t>
        </is>
      </c>
      <c r="D15" s="31" t="inlineStr">
        <is>
          <t>NONE</t>
        </is>
      </c>
      <c r="E15" s="31" t="n"/>
      <c r="F15" s="31" t="n"/>
      <c r="G15" t="n">
        <v>99.38</v>
      </c>
      <c r="H15" t="n">
        <v>103.4</v>
      </c>
      <c r="I15">
        <f>IFERROR(IF(INDEX(SONG_LEVEL_TRUTH!$J$2:$J$200,MATCH($A15,SONG_LEVEL_TRUTH!$A$2:$A$200,0))="","",INDEX(SONG_LEVEL_TRUTH!$J$2:$J$200,MATCH($A15,SONG_LEVEL_TRUTH!$A$2:$A$200,0))),"")</f>
        <v/>
      </c>
      <c r="J15">
        <f>IFERROR(IF(INDEX(SONG_LEVEL_TRUTH!$K$2:$K$200,MATCH($A15,SONG_LEVEL_TRUTH!$A$2:$A$200,0))="","",INDEX(SONG_LEVEL_TRUTH!$K$2:$K$200,MATCH($A15,SONG_LEVEL_TRUTH!$A$2:$A$200,0))),"")</f>
        <v/>
      </c>
      <c r="K15">
        <f>IFERROR(IF(INDEX(SONG_LEVEL_TRUTH!$L$2:$L$200,MATCH($A15,SONG_LEVEL_TRUTH!$A$2:$A$200,0))="","",INDEX(SONG_LEVEL_TRUTH!$L$2:$L$200,MATCH($A15,SONG_LEVEL_TRUTH!$A$2:$A$200,0))),"")</f>
        <v/>
      </c>
      <c r="L15">
        <f>IFERROR(IF(INDEX(SONG_LEVEL_TRUTH!$M$2:$M$200,MATCH($A15,SONG_LEVEL_TRUTH!$A$2:$A$200,0))="","",INDEX(SONG_LEVEL_TRUTH!$M$2:$M$200,MATCH($A15,SONG_LEVEL_TRUTH!$A$2:$A$200,0))),"")</f>
        <v/>
      </c>
      <c r="M15">
        <f>IF(ISNUMBER($B15),IF(ISNUMBER(I15),ABS(I15-$B15),"n/a"),"GT UNKNOWN")</f>
        <v/>
      </c>
      <c r="N15">
        <f>IF(ISNUMBER($B15),IF(ISNUMBER(J15),ABS(J15-$B15),"n/a"),"GT UNKNOWN")</f>
        <v/>
      </c>
      <c r="O15">
        <f>IF(ISNUMBER($B15),IF(ISNUMBER(K15),ABS(K15-$B15),"n/a"),"GT UNKNOWN")</f>
        <v/>
      </c>
      <c r="P15">
        <f>IF(ISNUMBER($B15),IF(ISNUMBER(L15),ABS(L15-$B15),"n/a"),"GT UNKNOWN")</f>
        <v/>
      </c>
      <c r="Q15">
        <f>IF(ISNUMBER($B15),IF(ISNUMBER(I15),ABS(I15-$B15)/$B15*100,"n/a"),"GT UNKNOWN")</f>
        <v/>
      </c>
      <c r="R15">
        <f>IF(ISNUMBER($B15),IF(ISNUMBER(J15),ABS(J15-$B15)/$B15*100,"n/a"),"GT UNKNOWN")</f>
        <v/>
      </c>
      <c r="S15">
        <f>IF(ISNUMBER($B15),IF(ISNUMBER(K15),ABS(K15-$B15)/$B15*100,"n/a"),"GT UNKNOWN")</f>
        <v/>
      </c>
      <c r="T15">
        <f>IF(ISNUMBER($B15),IF(ISNUMBER(L15),ABS(L15-$B15)/$B15*100,"n/a"),"GT UNKNOWN")</f>
        <v/>
      </c>
      <c r="U15">
        <f>IF(ISNUMBER($B15),IF(ISNUMBER(I15),IF(ABS(I15/$B15-1)&lt;=0.03,"MATCH (within 3%)",IF(ABS(I15/$B15-2)&lt;=0.06,"DOUBLE-TIME ERROR",IF(ABS(I15/$B15-0.5)&lt;=0.03,"HALF-TIME ERROR","BPM ERROR"))),"n/a"),"GT UNKNOWN")</f>
        <v/>
      </c>
      <c r="V15">
        <f>IF(ISNUMBER($B15),IF(ISNUMBER(J15),IF(ABS(J15/$B15-1)&lt;=0.03,"MATCH (within 3%)",IF(ABS(J15/$B15-2)&lt;=0.06,"DOUBLE-TIME ERROR",IF(ABS(J15/$B15-0.5)&lt;=0.03,"HALF-TIME ERROR","BPM ERROR"))),"n/a"),"GT UNKNOWN")</f>
        <v/>
      </c>
      <c r="W15">
        <f>IF(ISNUMBER($B15),IF(ISNUMBER(K15),IF(ABS(K15/$B15-1)&lt;=0.03,"MATCH (within 3%)",IF(ABS(K15/$B15-2)&lt;=0.06,"DOUBLE-TIME ERROR",IF(ABS(K15/$B15-0.5)&lt;=0.03,"HALF-TIME ERROR","BPM ERROR"))),"n/a"),"GT UNKNOWN")</f>
        <v/>
      </c>
      <c r="X15">
        <f>IF(ISNUMBER($B15),IF(ISNUMBER(L15),IF(ABS(L15/$B15-1)&lt;=0.03,"MATCH (within 3%)",IF(ABS(L15/$B15-2)&lt;=0.06,"DOUBLE-TIME ERROR",IF(ABS(L15/$B15-0.5)&lt;=0.03,"HALF-TIME ERROR","BPM ERROR"))),"n/a"),"GT UNKNOWN")</f>
        <v/>
      </c>
      <c r="Y15" t="n">
        <v>51.7</v>
      </c>
      <c r="Z15" t="n">
        <v>206.7</v>
      </c>
      <c r="AA15" t="inlineStr">
        <is>
          <t>MEDIUM</t>
        </is>
      </c>
      <c r="AB15" t="inlineStr">
        <is>
          <t>pulse support 3/6 methods; octave ambiguity possible - confirm by ear/metronome</t>
        </is>
      </c>
      <c r="AC15" t="n">
        <v>70</v>
      </c>
      <c r="AD15" t="n">
        <v>5.7</v>
      </c>
      <c r="AE15" t="inlineStr">
        <is>
          <t>ess_multifeature=99.7, ess_degara=100.6, lib_beat_track=99.4, tempogram=206.7, autocorr=198.8, ioi_hist=191.0</t>
        </is>
      </c>
    </row>
    <row r="16">
      <c r="A16" t="inlineStr">
        <is>
          <t>TEST_015</t>
        </is>
      </c>
      <c r="B16" s="31" t="n"/>
      <c r="C16" s="31" t="inlineStr">
        <is>
          <t>UNKNOWN - awaiting metronome setting / tap</t>
        </is>
      </c>
      <c r="D16" s="31" t="inlineStr">
        <is>
          <t>NONE</t>
        </is>
      </c>
      <c r="E16" s="31" t="n"/>
      <c r="F16" s="31" t="n"/>
      <c r="G16" t="n">
        <v>112.35</v>
      </c>
      <c r="H16" t="n">
        <v>112.5</v>
      </c>
      <c r="I16">
        <f>IFERROR(IF(INDEX(SONG_LEVEL_TRUTH!$J$2:$J$200,MATCH($A16,SONG_LEVEL_TRUTH!$A$2:$A$200,0))="","",INDEX(SONG_LEVEL_TRUTH!$J$2:$J$200,MATCH($A16,SONG_LEVEL_TRUTH!$A$2:$A$200,0))),"")</f>
        <v/>
      </c>
      <c r="J16">
        <f>IFERROR(IF(INDEX(SONG_LEVEL_TRUTH!$K$2:$K$200,MATCH($A16,SONG_LEVEL_TRUTH!$A$2:$A$200,0))="","",INDEX(SONG_LEVEL_TRUTH!$K$2:$K$200,MATCH($A16,SONG_LEVEL_TRUTH!$A$2:$A$200,0))),"")</f>
        <v/>
      </c>
      <c r="K16">
        <f>IFERROR(IF(INDEX(SONG_LEVEL_TRUTH!$L$2:$L$200,MATCH($A16,SONG_LEVEL_TRUTH!$A$2:$A$200,0))="","",INDEX(SONG_LEVEL_TRUTH!$L$2:$L$200,MATCH($A16,SONG_LEVEL_TRUTH!$A$2:$A$200,0))),"")</f>
        <v/>
      </c>
      <c r="L16">
        <f>IFERROR(IF(INDEX(SONG_LEVEL_TRUTH!$M$2:$M$200,MATCH($A16,SONG_LEVEL_TRUTH!$A$2:$A$200,0))="","",INDEX(SONG_LEVEL_TRUTH!$M$2:$M$200,MATCH($A16,SONG_LEVEL_TRUTH!$A$2:$A$200,0))),"")</f>
        <v/>
      </c>
      <c r="M16">
        <f>IF(ISNUMBER($B16),IF(ISNUMBER(I16),ABS(I16-$B16),"n/a"),"GT UNKNOWN")</f>
        <v/>
      </c>
      <c r="N16">
        <f>IF(ISNUMBER($B16),IF(ISNUMBER(J16),ABS(J16-$B16),"n/a"),"GT UNKNOWN")</f>
        <v/>
      </c>
      <c r="O16">
        <f>IF(ISNUMBER($B16),IF(ISNUMBER(K16),ABS(K16-$B16),"n/a"),"GT UNKNOWN")</f>
        <v/>
      </c>
      <c r="P16">
        <f>IF(ISNUMBER($B16),IF(ISNUMBER(L16),ABS(L16-$B16),"n/a"),"GT UNKNOWN")</f>
        <v/>
      </c>
      <c r="Q16">
        <f>IF(ISNUMBER($B16),IF(ISNUMBER(I16),ABS(I16-$B16)/$B16*100,"n/a"),"GT UNKNOWN")</f>
        <v/>
      </c>
      <c r="R16">
        <f>IF(ISNUMBER($B16),IF(ISNUMBER(J16),ABS(J16-$B16)/$B16*100,"n/a"),"GT UNKNOWN")</f>
        <v/>
      </c>
      <c r="S16">
        <f>IF(ISNUMBER($B16),IF(ISNUMBER(K16),ABS(K16-$B16)/$B16*100,"n/a"),"GT UNKNOWN")</f>
        <v/>
      </c>
      <c r="T16">
        <f>IF(ISNUMBER($B16),IF(ISNUMBER(L16),ABS(L16-$B16)/$B16*100,"n/a"),"GT UNKNOWN")</f>
        <v/>
      </c>
      <c r="U16">
        <f>IF(ISNUMBER($B16),IF(ISNUMBER(I16),IF(ABS(I16/$B16-1)&lt;=0.03,"MATCH (within 3%)",IF(ABS(I16/$B16-2)&lt;=0.06,"DOUBLE-TIME ERROR",IF(ABS(I16/$B16-0.5)&lt;=0.03,"HALF-TIME ERROR","BPM ERROR"))),"n/a"),"GT UNKNOWN")</f>
        <v/>
      </c>
      <c r="V16">
        <f>IF(ISNUMBER($B16),IF(ISNUMBER(J16),IF(ABS(J16/$B16-1)&lt;=0.03,"MATCH (within 3%)",IF(ABS(J16/$B16-2)&lt;=0.06,"DOUBLE-TIME ERROR",IF(ABS(J16/$B16-0.5)&lt;=0.03,"HALF-TIME ERROR","BPM ERROR"))),"n/a"),"GT UNKNOWN")</f>
        <v/>
      </c>
      <c r="W16">
        <f>IF(ISNUMBER($B16),IF(ISNUMBER(K16),IF(ABS(K16/$B16-1)&lt;=0.03,"MATCH (within 3%)",IF(ABS(K16/$B16-2)&lt;=0.06,"DOUBLE-TIME ERROR",IF(ABS(K16/$B16-0.5)&lt;=0.03,"HALF-TIME ERROR","BPM ERROR"))),"n/a"),"GT UNKNOWN")</f>
        <v/>
      </c>
      <c r="X16">
        <f>IF(ISNUMBER($B16),IF(ISNUMBER(L16),IF(ABS(L16/$B16-1)&lt;=0.03,"MATCH (within 3%)",IF(ABS(L16/$B16-2)&lt;=0.06,"DOUBLE-TIME ERROR",IF(ABS(L16/$B16-0.5)&lt;=0.03,"HALF-TIME ERROR","BPM ERROR"))),"n/a"),"GT UNKNOWN")</f>
        <v/>
      </c>
      <c r="Y16" t="n">
        <v>56.2</v>
      </c>
      <c r="Z16" t="n">
        <v>225</v>
      </c>
      <c r="AA16" t="inlineStr">
        <is>
          <t>HIGH</t>
        </is>
      </c>
      <c r="AB16" t="inlineStr">
        <is>
          <t>pulse support 4/6 methods; octave ambiguity possible - confirm by ear/metronome</t>
        </is>
      </c>
      <c r="AC16" t="n">
        <v>53</v>
      </c>
      <c r="AD16" t="n">
        <v>3.2</v>
      </c>
      <c r="AE16" t="inlineStr">
        <is>
          <t>ess_multifeature=112.5, ess_degara=114.0, lib_beat_track=114.8, tempogram=114.8, autocorr=56.8, ioi_hist=225.0</t>
        </is>
      </c>
    </row>
    <row r="17">
      <c r="A17" t="inlineStr">
        <is>
          <t>TEST_016</t>
        </is>
      </c>
      <c r="B17" s="31" t="n"/>
      <c r="C17" s="31" t="inlineStr">
        <is>
          <t>UNKNOWN - awaiting metronome setting / tap</t>
        </is>
      </c>
      <c r="D17" s="31" t="inlineStr">
        <is>
          <t>NONE</t>
        </is>
      </c>
      <c r="E17" s="31" t="n"/>
      <c r="F17" s="31" t="n"/>
      <c r="G17" t="n">
        <v>126.05</v>
      </c>
      <c r="H17" t="n">
        <v>125.9</v>
      </c>
      <c r="I17">
        <f>IFERROR(IF(INDEX(SONG_LEVEL_TRUTH!$J$2:$J$200,MATCH($A17,SONG_LEVEL_TRUTH!$A$2:$A$200,0))="","",INDEX(SONG_LEVEL_TRUTH!$J$2:$J$200,MATCH($A17,SONG_LEVEL_TRUTH!$A$2:$A$200,0))),"")</f>
        <v/>
      </c>
      <c r="J17">
        <f>IFERROR(IF(INDEX(SONG_LEVEL_TRUTH!$K$2:$K$200,MATCH($A17,SONG_LEVEL_TRUTH!$A$2:$A$200,0))="","",INDEX(SONG_LEVEL_TRUTH!$K$2:$K$200,MATCH($A17,SONG_LEVEL_TRUTH!$A$2:$A$200,0))),"")</f>
        <v/>
      </c>
      <c r="K17">
        <f>IFERROR(IF(INDEX(SONG_LEVEL_TRUTH!$L$2:$L$200,MATCH($A17,SONG_LEVEL_TRUTH!$A$2:$A$200,0))="","",INDEX(SONG_LEVEL_TRUTH!$L$2:$L$200,MATCH($A17,SONG_LEVEL_TRUTH!$A$2:$A$200,0))),"")</f>
        <v/>
      </c>
      <c r="L17">
        <f>IFERROR(IF(INDEX(SONG_LEVEL_TRUTH!$M$2:$M$200,MATCH($A17,SONG_LEVEL_TRUTH!$A$2:$A$200,0))="","",INDEX(SONG_LEVEL_TRUTH!$M$2:$M$200,MATCH($A17,SONG_LEVEL_TRUTH!$A$2:$A$200,0))),"")</f>
        <v/>
      </c>
      <c r="M17">
        <f>IF(ISNUMBER($B17),IF(ISNUMBER(I17),ABS(I17-$B17),"n/a"),"GT UNKNOWN")</f>
        <v/>
      </c>
      <c r="N17">
        <f>IF(ISNUMBER($B17),IF(ISNUMBER(J17),ABS(J17-$B17),"n/a"),"GT UNKNOWN")</f>
        <v/>
      </c>
      <c r="O17">
        <f>IF(ISNUMBER($B17),IF(ISNUMBER(K17),ABS(K17-$B17),"n/a"),"GT UNKNOWN")</f>
        <v/>
      </c>
      <c r="P17">
        <f>IF(ISNUMBER($B17),IF(ISNUMBER(L17),ABS(L17-$B17),"n/a"),"GT UNKNOWN")</f>
        <v/>
      </c>
      <c r="Q17">
        <f>IF(ISNUMBER($B17),IF(ISNUMBER(I17),ABS(I17-$B17)/$B17*100,"n/a"),"GT UNKNOWN")</f>
        <v/>
      </c>
      <c r="R17">
        <f>IF(ISNUMBER($B17),IF(ISNUMBER(J17),ABS(J17-$B17)/$B17*100,"n/a"),"GT UNKNOWN")</f>
        <v/>
      </c>
      <c r="S17">
        <f>IF(ISNUMBER($B17),IF(ISNUMBER(K17),ABS(K17-$B17)/$B17*100,"n/a"),"GT UNKNOWN")</f>
        <v/>
      </c>
      <c r="T17">
        <f>IF(ISNUMBER($B17),IF(ISNUMBER(L17),ABS(L17-$B17)/$B17*100,"n/a"),"GT UNKNOWN")</f>
        <v/>
      </c>
      <c r="U17">
        <f>IF(ISNUMBER($B17),IF(ISNUMBER(I17),IF(ABS(I17/$B17-1)&lt;=0.03,"MATCH (within 3%)",IF(ABS(I17/$B17-2)&lt;=0.06,"DOUBLE-TIME ERROR",IF(ABS(I17/$B17-0.5)&lt;=0.03,"HALF-TIME ERROR","BPM ERROR"))),"n/a"),"GT UNKNOWN")</f>
        <v/>
      </c>
      <c r="V17">
        <f>IF(ISNUMBER($B17),IF(ISNUMBER(J17),IF(ABS(J17/$B17-1)&lt;=0.03,"MATCH (within 3%)",IF(ABS(J17/$B17-2)&lt;=0.06,"DOUBLE-TIME ERROR",IF(ABS(J17/$B17-0.5)&lt;=0.03,"HALF-TIME ERROR","BPM ERROR"))),"n/a"),"GT UNKNOWN")</f>
        <v/>
      </c>
      <c r="W17">
        <f>IF(ISNUMBER($B17),IF(ISNUMBER(K17),IF(ABS(K17/$B17-1)&lt;=0.03,"MATCH (within 3%)",IF(ABS(K17/$B17-2)&lt;=0.06,"DOUBLE-TIME ERROR",IF(ABS(K17/$B17-0.5)&lt;=0.03,"HALF-TIME ERROR","BPM ERROR"))),"n/a"),"GT UNKNOWN")</f>
        <v/>
      </c>
      <c r="X17">
        <f>IF(ISNUMBER($B17),IF(ISNUMBER(L17),IF(ABS(L17/$B17-1)&lt;=0.03,"MATCH (within 3%)",IF(ABS(L17/$B17-2)&lt;=0.06,"DOUBLE-TIME ERROR",IF(ABS(L17/$B17-0.5)&lt;=0.03,"HALF-TIME ERROR","BPM ERROR"))),"n/a"),"GT UNKNOWN")</f>
        <v/>
      </c>
      <c r="Y17" t="n">
        <v>62.9</v>
      </c>
      <c r="Z17" t="n">
        <v>251.8</v>
      </c>
      <c r="AA17" t="inlineStr">
        <is>
          <t>MEDIUM</t>
        </is>
      </c>
      <c r="AB17" t="inlineStr">
        <is>
          <t>pulse support 3/6 methods; octave ambiguity possible - confirm by ear/metronome</t>
        </is>
      </c>
      <c r="AC17" t="n">
        <v>154</v>
      </c>
      <c r="AD17" t="n">
        <v>3.6</v>
      </c>
      <c r="AE17" t="inlineStr">
        <is>
          <t>ess_multifeature=125.9, ess_degara=125.9, lib_beat_track=126.0, tempogram=215.3, autocorr=83.4, ioi_hist=235.0</t>
        </is>
      </c>
    </row>
    <row r="18">
      <c r="A18" t="inlineStr">
        <is>
          <t>TEST_017</t>
        </is>
      </c>
      <c r="B18" s="31" t="n"/>
      <c r="C18" s="31" t="inlineStr">
        <is>
          <t>UNKNOWN - awaiting metronome setting / tap</t>
        </is>
      </c>
      <c r="D18" s="31" t="inlineStr">
        <is>
          <t>NONE</t>
        </is>
      </c>
      <c r="E18" s="31" t="n"/>
      <c r="F18" s="31" t="n"/>
      <c r="G18" t="n">
        <v>108.8</v>
      </c>
      <c r="H18" t="n">
        <v>107.7</v>
      </c>
      <c r="I18">
        <f>IFERROR(IF(INDEX(SONG_LEVEL_TRUTH!$J$2:$J$200,MATCH($A18,SONG_LEVEL_TRUTH!$A$2:$A$200,0))="","",INDEX(SONG_LEVEL_TRUTH!$J$2:$J$200,MATCH($A18,SONG_LEVEL_TRUTH!$A$2:$A$200,0))),"")</f>
        <v/>
      </c>
      <c r="J18">
        <f>IFERROR(IF(INDEX(SONG_LEVEL_TRUTH!$K$2:$K$200,MATCH($A18,SONG_LEVEL_TRUTH!$A$2:$A$200,0))="","",INDEX(SONG_LEVEL_TRUTH!$K$2:$K$200,MATCH($A18,SONG_LEVEL_TRUTH!$A$2:$A$200,0))),"")</f>
        <v/>
      </c>
      <c r="K18">
        <f>IFERROR(IF(INDEX(SONG_LEVEL_TRUTH!$L$2:$L$200,MATCH($A18,SONG_LEVEL_TRUTH!$A$2:$A$200,0))="","",INDEX(SONG_LEVEL_TRUTH!$L$2:$L$200,MATCH($A18,SONG_LEVEL_TRUTH!$A$2:$A$200,0))),"")</f>
        <v/>
      </c>
      <c r="L18">
        <f>IFERROR(IF(INDEX(SONG_LEVEL_TRUTH!$M$2:$M$200,MATCH($A18,SONG_LEVEL_TRUTH!$A$2:$A$200,0))="","",INDEX(SONG_LEVEL_TRUTH!$M$2:$M$200,MATCH($A18,SONG_LEVEL_TRUTH!$A$2:$A$200,0))),"")</f>
        <v/>
      </c>
      <c r="M18">
        <f>IF(ISNUMBER($B18),IF(ISNUMBER(I18),ABS(I18-$B18),"n/a"),"GT UNKNOWN")</f>
        <v/>
      </c>
      <c r="N18">
        <f>IF(ISNUMBER($B18),IF(ISNUMBER(J18),ABS(J18-$B18),"n/a"),"GT UNKNOWN")</f>
        <v/>
      </c>
      <c r="O18">
        <f>IF(ISNUMBER($B18),IF(ISNUMBER(K18),ABS(K18-$B18),"n/a"),"GT UNKNOWN")</f>
        <v/>
      </c>
      <c r="P18">
        <f>IF(ISNUMBER($B18),IF(ISNUMBER(L18),ABS(L18-$B18),"n/a"),"GT UNKNOWN")</f>
        <v/>
      </c>
      <c r="Q18">
        <f>IF(ISNUMBER($B18),IF(ISNUMBER(I18),ABS(I18-$B18)/$B18*100,"n/a"),"GT UNKNOWN")</f>
        <v/>
      </c>
      <c r="R18">
        <f>IF(ISNUMBER($B18),IF(ISNUMBER(J18),ABS(J18-$B18)/$B18*100,"n/a"),"GT UNKNOWN")</f>
        <v/>
      </c>
      <c r="S18">
        <f>IF(ISNUMBER($B18),IF(ISNUMBER(K18),ABS(K18-$B18)/$B18*100,"n/a"),"GT UNKNOWN")</f>
        <v/>
      </c>
      <c r="T18">
        <f>IF(ISNUMBER($B18),IF(ISNUMBER(L18),ABS(L18-$B18)/$B18*100,"n/a"),"GT UNKNOWN")</f>
        <v/>
      </c>
      <c r="U18">
        <f>IF(ISNUMBER($B18),IF(ISNUMBER(I18),IF(ABS(I18/$B18-1)&lt;=0.03,"MATCH (within 3%)",IF(ABS(I18/$B18-2)&lt;=0.06,"DOUBLE-TIME ERROR",IF(ABS(I18/$B18-0.5)&lt;=0.03,"HALF-TIME ERROR","BPM ERROR"))),"n/a"),"GT UNKNOWN")</f>
        <v/>
      </c>
      <c r="V18">
        <f>IF(ISNUMBER($B18),IF(ISNUMBER(J18),IF(ABS(J18/$B18-1)&lt;=0.03,"MATCH (within 3%)",IF(ABS(J18/$B18-2)&lt;=0.06,"DOUBLE-TIME ERROR",IF(ABS(J18/$B18-0.5)&lt;=0.03,"HALF-TIME ERROR","BPM ERROR"))),"n/a"),"GT UNKNOWN")</f>
        <v/>
      </c>
      <c r="W18">
        <f>IF(ISNUMBER($B18),IF(ISNUMBER(K18),IF(ABS(K18/$B18-1)&lt;=0.03,"MATCH (within 3%)",IF(ABS(K18/$B18-2)&lt;=0.06,"DOUBLE-TIME ERROR",IF(ABS(K18/$B18-0.5)&lt;=0.03,"HALF-TIME ERROR","BPM ERROR"))),"n/a"),"GT UNKNOWN")</f>
        <v/>
      </c>
      <c r="X18">
        <f>IF(ISNUMBER($B18),IF(ISNUMBER(L18),IF(ABS(L18/$B18-1)&lt;=0.03,"MATCH (within 3%)",IF(ABS(L18/$B18-2)&lt;=0.06,"DOUBLE-TIME ERROR",IF(ABS(L18/$B18-0.5)&lt;=0.03,"HALF-TIME ERROR","BPM ERROR"))),"n/a"),"GT UNKNOWN")</f>
        <v/>
      </c>
      <c r="Y18" t="n">
        <v>53.8</v>
      </c>
      <c r="Z18" t="n">
        <v>215.3</v>
      </c>
      <c r="AA18" t="inlineStr">
        <is>
          <t>LOW</t>
        </is>
      </c>
      <c r="AB18" t="inlineStr">
        <is>
          <t>VARIABLE TEMPO; pulse support 2/6 methods; octave ambiguity possible - confirm by ear/metronome</t>
        </is>
      </c>
      <c r="AC18" t="n">
        <v>231</v>
      </c>
      <c r="AD18" t="n">
        <v>10.9</v>
      </c>
      <c r="AE18" t="inlineStr">
        <is>
          <t>ess_multifeature=111.2, ess_degara=108.8, lib_beat_track=123.0, tempogram=215.3, autocorr=172.3, ioi_hist=235.0</t>
        </is>
      </c>
    </row>
    <row r="19">
      <c r="A19" t="inlineStr">
        <is>
          <t>TEST_018</t>
        </is>
      </c>
      <c r="B19" s="31" t="n"/>
      <c r="C19" s="31" t="inlineStr">
        <is>
          <t>UNKNOWN - awaiting metronome setting / tap</t>
        </is>
      </c>
      <c r="D19" s="31" t="inlineStr">
        <is>
          <t>NONE</t>
        </is>
      </c>
      <c r="E19" s="31" t="n"/>
      <c r="F19" s="31" t="n"/>
      <c r="G19" t="n">
        <v>120.19</v>
      </c>
      <c r="H19" t="n">
        <v>120.2</v>
      </c>
      <c r="I19">
        <f>IFERROR(IF(INDEX(SONG_LEVEL_TRUTH!$J$2:$J$200,MATCH($A19,SONG_LEVEL_TRUTH!$A$2:$A$200,0))="","",INDEX(SONG_LEVEL_TRUTH!$J$2:$J$200,MATCH($A19,SONG_LEVEL_TRUTH!$A$2:$A$200,0))),"")</f>
        <v/>
      </c>
      <c r="J19">
        <f>IFERROR(IF(INDEX(SONG_LEVEL_TRUTH!$K$2:$K$200,MATCH($A19,SONG_LEVEL_TRUTH!$A$2:$A$200,0))="","",INDEX(SONG_LEVEL_TRUTH!$K$2:$K$200,MATCH($A19,SONG_LEVEL_TRUTH!$A$2:$A$200,0))),"")</f>
        <v/>
      </c>
      <c r="K19">
        <f>IFERROR(IF(INDEX(SONG_LEVEL_TRUTH!$L$2:$L$200,MATCH($A19,SONG_LEVEL_TRUTH!$A$2:$A$200,0))="","",INDEX(SONG_LEVEL_TRUTH!$L$2:$L$200,MATCH($A19,SONG_LEVEL_TRUTH!$A$2:$A$200,0))),"")</f>
        <v/>
      </c>
      <c r="L19">
        <f>IFERROR(IF(INDEX(SONG_LEVEL_TRUTH!$M$2:$M$200,MATCH($A19,SONG_LEVEL_TRUTH!$A$2:$A$200,0))="","",INDEX(SONG_LEVEL_TRUTH!$M$2:$M$200,MATCH($A19,SONG_LEVEL_TRUTH!$A$2:$A$200,0))),"")</f>
        <v/>
      </c>
      <c r="M19">
        <f>IF(ISNUMBER($B19),IF(ISNUMBER(I19),ABS(I19-$B19),"n/a"),"GT UNKNOWN")</f>
        <v/>
      </c>
      <c r="N19">
        <f>IF(ISNUMBER($B19),IF(ISNUMBER(J19),ABS(J19-$B19),"n/a"),"GT UNKNOWN")</f>
        <v/>
      </c>
      <c r="O19">
        <f>IF(ISNUMBER($B19),IF(ISNUMBER(K19),ABS(K19-$B19),"n/a"),"GT UNKNOWN")</f>
        <v/>
      </c>
      <c r="P19">
        <f>IF(ISNUMBER($B19),IF(ISNUMBER(L19),ABS(L19-$B19),"n/a"),"GT UNKNOWN")</f>
        <v/>
      </c>
      <c r="Q19">
        <f>IF(ISNUMBER($B19),IF(ISNUMBER(I19),ABS(I19-$B19)/$B19*100,"n/a"),"GT UNKNOWN")</f>
        <v/>
      </c>
      <c r="R19">
        <f>IF(ISNUMBER($B19),IF(ISNUMBER(J19),ABS(J19-$B19)/$B19*100,"n/a"),"GT UNKNOWN")</f>
        <v/>
      </c>
      <c r="S19">
        <f>IF(ISNUMBER($B19),IF(ISNUMBER(K19),ABS(K19-$B19)/$B19*100,"n/a"),"GT UNKNOWN")</f>
        <v/>
      </c>
      <c r="T19">
        <f>IF(ISNUMBER($B19),IF(ISNUMBER(L19),ABS(L19-$B19)/$B19*100,"n/a"),"GT UNKNOWN")</f>
        <v/>
      </c>
      <c r="U19">
        <f>IF(ISNUMBER($B19),IF(ISNUMBER(I19),IF(ABS(I19/$B19-1)&lt;=0.03,"MATCH (within 3%)",IF(ABS(I19/$B19-2)&lt;=0.06,"DOUBLE-TIME ERROR",IF(ABS(I19/$B19-0.5)&lt;=0.03,"HALF-TIME ERROR","BPM ERROR"))),"n/a"),"GT UNKNOWN")</f>
        <v/>
      </c>
      <c r="V19">
        <f>IF(ISNUMBER($B19),IF(ISNUMBER(J19),IF(ABS(J19/$B19-1)&lt;=0.03,"MATCH (within 3%)",IF(ABS(J19/$B19-2)&lt;=0.06,"DOUBLE-TIME ERROR",IF(ABS(J19/$B19-0.5)&lt;=0.03,"HALF-TIME ERROR","BPM ERROR"))),"n/a"),"GT UNKNOWN")</f>
        <v/>
      </c>
      <c r="W19">
        <f>IF(ISNUMBER($B19),IF(ISNUMBER(K19),IF(ABS(K19/$B19-1)&lt;=0.03,"MATCH (within 3%)",IF(ABS(K19/$B19-2)&lt;=0.06,"DOUBLE-TIME ERROR",IF(ABS(K19/$B19-0.5)&lt;=0.03,"HALF-TIME ERROR","BPM ERROR"))),"n/a"),"GT UNKNOWN")</f>
        <v/>
      </c>
      <c r="X19">
        <f>IF(ISNUMBER($B19),IF(ISNUMBER(L19),IF(ABS(L19/$B19-1)&lt;=0.03,"MATCH (within 3%)",IF(ABS(L19/$B19-2)&lt;=0.06,"DOUBLE-TIME ERROR",IF(ABS(L19/$B19-0.5)&lt;=0.03,"HALF-TIME ERROR","BPM ERROR"))),"n/a"),"GT UNKNOWN")</f>
        <v/>
      </c>
      <c r="Y19" t="n">
        <v>60.1</v>
      </c>
      <c r="Z19" t="n">
        <v>240.4</v>
      </c>
      <c r="AA19" t="inlineStr">
        <is>
          <t>HIGH</t>
        </is>
      </c>
      <c r="AB19" t="inlineStr">
        <is>
          <t>pulse support 5/6 methods; octave ambiguity possible - confirm by ear/metronome</t>
        </is>
      </c>
      <c r="AC19" t="n">
        <v>154</v>
      </c>
      <c r="AD19" t="n">
        <v>3.4</v>
      </c>
      <c r="AE19" t="inlineStr">
        <is>
          <t>ess_multifeature=120.5, ess_degara=120.4, lib_beat_track=120.2, tempogram=120.2, autocorr=120.2, ioi_hist=247.0</t>
        </is>
      </c>
    </row>
    <row r="20">
      <c r="A20" t="inlineStr">
        <is>
          <t>TEST_019</t>
        </is>
      </c>
      <c r="B20" s="31" t="n"/>
      <c r="C20" s="31" t="inlineStr">
        <is>
          <t>UNKNOWN - awaiting metronome setting / tap</t>
        </is>
      </c>
      <c r="D20" s="31" t="inlineStr">
        <is>
          <t>NONE</t>
        </is>
      </c>
      <c r="E20" s="31" t="n"/>
      <c r="F20" s="31" t="n"/>
      <c r="G20" t="n">
        <v>120.19</v>
      </c>
      <c r="H20" t="n">
        <v>118.7</v>
      </c>
      <c r="I20">
        <f>IFERROR(IF(INDEX(SONG_LEVEL_TRUTH!$J$2:$J$200,MATCH($A20,SONG_LEVEL_TRUTH!$A$2:$A$200,0))="","",INDEX(SONG_LEVEL_TRUTH!$J$2:$J$200,MATCH($A20,SONG_LEVEL_TRUTH!$A$2:$A$200,0))),"")</f>
        <v/>
      </c>
      <c r="J20">
        <f>IFERROR(IF(INDEX(SONG_LEVEL_TRUTH!$K$2:$K$200,MATCH($A20,SONG_LEVEL_TRUTH!$A$2:$A$200,0))="","",INDEX(SONG_LEVEL_TRUTH!$K$2:$K$200,MATCH($A20,SONG_LEVEL_TRUTH!$A$2:$A$200,0))),"")</f>
        <v/>
      </c>
      <c r="K20">
        <f>IFERROR(IF(INDEX(SONG_LEVEL_TRUTH!$L$2:$L$200,MATCH($A20,SONG_LEVEL_TRUTH!$A$2:$A$200,0))="","",INDEX(SONG_LEVEL_TRUTH!$L$2:$L$200,MATCH($A20,SONG_LEVEL_TRUTH!$A$2:$A$200,0))),"")</f>
        <v/>
      </c>
      <c r="L20">
        <f>IFERROR(IF(INDEX(SONG_LEVEL_TRUTH!$M$2:$M$200,MATCH($A20,SONG_LEVEL_TRUTH!$A$2:$A$200,0))="","",INDEX(SONG_LEVEL_TRUTH!$M$2:$M$200,MATCH($A20,SONG_LEVEL_TRUTH!$A$2:$A$200,0))),"")</f>
        <v/>
      </c>
      <c r="M20">
        <f>IF(ISNUMBER($B20),IF(ISNUMBER(I20),ABS(I20-$B20),"n/a"),"GT UNKNOWN")</f>
        <v/>
      </c>
      <c r="N20">
        <f>IF(ISNUMBER($B20),IF(ISNUMBER(J20),ABS(J20-$B20),"n/a"),"GT UNKNOWN")</f>
        <v/>
      </c>
      <c r="O20">
        <f>IF(ISNUMBER($B20),IF(ISNUMBER(K20),ABS(K20-$B20),"n/a"),"GT UNKNOWN")</f>
        <v/>
      </c>
      <c r="P20">
        <f>IF(ISNUMBER($B20),IF(ISNUMBER(L20),ABS(L20-$B20),"n/a"),"GT UNKNOWN")</f>
        <v/>
      </c>
      <c r="Q20">
        <f>IF(ISNUMBER($B20),IF(ISNUMBER(I20),ABS(I20-$B20)/$B20*100,"n/a"),"GT UNKNOWN")</f>
        <v/>
      </c>
      <c r="R20">
        <f>IF(ISNUMBER($B20),IF(ISNUMBER(J20),ABS(J20-$B20)/$B20*100,"n/a"),"GT UNKNOWN")</f>
        <v/>
      </c>
      <c r="S20">
        <f>IF(ISNUMBER($B20),IF(ISNUMBER(K20),ABS(K20-$B20)/$B20*100,"n/a"),"GT UNKNOWN")</f>
        <v/>
      </c>
      <c r="T20">
        <f>IF(ISNUMBER($B20),IF(ISNUMBER(L20),ABS(L20-$B20)/$B20*100,"n/a"),"GT UNKNOWN")</f>
        <v/>
      </c>
      <c r="U20">
        <f>IF(ISNUMBER($B20),IF(ISNUMBER(I20),IF(ABS(I20/$B20-1)&lt;=0.03,"MATCH (within 3%)",IF(ABS(I20/$B20-2)&lt;=0.06,"DOUBLE-TIME ERROR",IF(ABS(I20/$B20-0.5)&lt;=0.03,"HALF-TIME ERROR","BPM ERROR"))),"n/a"),"GT UNKNOWN")</f>
        <v/>
      </c>
      <c r="V20">
        <f>IF(ISNUMBER($B20),IF(ISNUMBER(J20),IF(ABS(J20/$B20-1)&lt;=0.03,"MATCH (within 3%)",IF(ABS(J20/$B20-2)&lt;=0.06,"DOUBLE-TIME ERROR",IF(ABS(J20/$B20-0.5)&lt;=0.03,"HALF-TIME ERROR","BPM ERROR"))),"n/a"),"GT UNKNOWN")</f>
        <v/>
      </c>
      <c r="W20">
        <f>IF(ISNUMBER($B20),IF(ISNUMBER(K20),IF(ABS(K20/$B20-1)&lt;=0.03,"MATCH (within 3%)",IF(ABS(K20/$B20-2)&lt;=0.06,"DOUBLE-TIME ERROR",IF(ABS(K20/$B20-0.5)&lt;=0.03,"HALF-TIME ERROR","BPM ERROR"))),"n/a"),"GT UNKNOWN")</f>
        <v/>
      </c>
      <c r="X20">
        <f>IF(ISNUMBER($B20),IF(ISNUMBER(L20),IF(ABS(L20/$B20-1)&lt;=0.03,"MATCH (within 3%)",IF(ABS(L20/$B20-2)&lt;=0.06,"DOUBLE-TIME ERROR",IF(ABS(L20/$B20-0.5)&lt;=0.03,"HALF-TIME ERROR","BPM ERROR"))),"n/a"),"GT UNKNOWN")</f>
        <v/>
      </c>
      <c r="Y20" t="n">
        <v>59.4</v>
      </c>
      <c r="Z20" t="n">
        <v>237.4</v>
      </c>
      <c r="AA20" t="inlineStr">
        <is>
          <t>HIGH</t>
        </is>
      </c>
      <c r="AB20" t="inlineStr">
        <is>
          <t>pulse support 6/6 methods; octave ambiguity possible - confirm by ear/metronome</t>
        </is>
      </c>
      <c r="AC20" t="n">
        <v>165</v>
      </c>
      <c r="AD20" t="n">
        <v>3.4</v>
      </c>
      <c r="AE20" t="inlineStr">
        <is>
          <t>ess_multifeature=118.7, ess_degara=118.7, lib_beat_track=120.2, tempogram=120.2, autocorr=120.2, ioi_hist=121.0</t>
        </is>
      </c>
    </row>
    <row r="21">
      <c r="A21" t="inlineStr">
        <is>
          <t>TEST_020</t>
        </is>
      </c>
      <c r="B21" s="31" t="n"/>
      <c r="C21" s="31" t="inlineStr">
        <is>
          <t>UNKNOWN - awaiting metronome setting / tap</t>
        </is>
      </c>
      <c r="D21" s="31" t="inlineStr">
        <is>
          <t>NONE</t>
        </is>
      </c>
      <c r="E21" s="31" t="n"/>
      <c r="F21" s="31" t="n"/>
      <c r="G21" t="n">
        <v>109.96</v>
      </c>
      <c r="H21" t="n">
        <v>112.3</v>
      </c>
      <c r="I21">
        <f>IFERROR(IF(INDEX(SONG_LEVEL_TRUTH!$J$2:$J$200,MATCH($A21,SONG_LEVEL_TRUTH!$A$2:$A$200,0))="","",INDEX(SONG_LEVEL_TRUTH!$J$2:$J$200,MATCH($A21,SONG_LEVEL_TRUTH!$A$2:$A$200,0))),"")</f>
        <v/>
      </c>
      <c r="J21">
        <f>IFERROR(IF(INDEX(SONG_LEVEL_TRUTH!$K$2:$K$200,MATCH($A21,SONG_LEVEL_TRUTH!$A$2:$A$200,0))="","",INDEX(SONG_LEVEL_TRUTH!$K$2:$K$200,MATCH($A21,SONG_LEVEL_TRUTH!$A$2:$A$200,0))),"")</f>
        <v/>
      </c>
      <c r="K21">
        <f>IFERROR(IF(INDEX(SONG_LEVEL_TRUTH!$L$2:$L$200,MATCH($A21,SONG_LEVEL_TRUTH!$A$2:$A$200,0))="","",INDEX(SONG_LEVEL_TRUTH!$L$2:$L$200,MATCH($A21,SONG_LEVEL_TRUTH!$A$2:$A$200,0))),"")</f>
        <v/>
      </c>
      <c r="L21">
        <f>IFERROR(IF(INDEX(SONG_LEVEL_TRUTH!$M$2:$M$200,MATCH($A21,SONG_LEVEL_TRUTH!$A$2:$A$200,0))="","",INDEX(SONG_LEVEL_TRUTH!$M$2:$M$200,MATCH($A21,SONG_LEVEL_TRUTH!$A$2:$A$200,0))),"")</f>
        <v/>
      </c>
      <c r="M21">
        <f>IF(ISNUMBER($B21),IF(ISNUMBER(I21),ABS(I21-$B21),"n/a"),"GT UNKNOWN")</f>
        <v/>
      </c>
      <c r="N21">
        <f>IF(ISNUMBER($B21),IF(ISNUMBER(J21),ABS(J21-$B21),"n/a"),"GT UNKNOWN")</f>
        <v/>
      </c>
      <c r="O21">
        <f>IF(ISNUMBER($B21),IF(ISNUMBER(K21),ABS(K21-$B21),"n/a"),"GT UNKNOWN")</f>
        <v/>
      </c>
      <c r="P21">
        <f>IF(ISNUMBER($B21),IF(ISNUMBER(L21),ABS(L21-$B21),"n/a"),"GT UNKNOWN")</f>
        <v/>
      </c>
      <c r="Q21">
        <f>IF(ISNUMBER($B21),IF(ISNUMBER(I21),ABS(I21-$B21)/$B21*100,"n/a"),"GT UNKNOWN")</f>
        <v/>
      </c>
      <c r="R21">
        <f>IF(ISNUMBER($B21),IF(ISNUMBER(J21),ABS(J21-$B21)/$B21*100,"n/a"),"GT UNKNOWN")</f>
        <v/>
      </c>
      <c r="S21">
        <f>IF(ISNUMBER($B21),IF(ISNUMBER(K21),ABS(K21-$B21)/$B21*100,"n/a"),"GT UNKNOWN")</f>
        <v/>
      </c>
      <c r="T21">
        <f>IF(ISNUMBER($B21),IF(ISNUMBER(L21),ABS(L21-$B21)/$B21*100,"n/a"),"GT UNKNOWN")</f>
        <v/>
      </c>
      <c r="U21">
        <f>IF(ISNUMBER($B21),IF(ISNUMBER(I21),IF(ABS(I21/$B21-1)&lt;=0.03,"MATCH (within 3%)",IF(ABS(I21/$B21-2)&lt;=0.06,"DOUBLE-TIME ERROR",IF(ABS(I21/$B21-0.5)&lt;=0.03,"HALF-TIME ERROR","BPM ERROR"))),"n/a"),"GT UNKNOWN")</f>
        <v/>
      </c>
      <c r="V21">
        <f>IF(ISNUMBER($B21),IF(ISNUMBER(J21),IF(ABS(J21/$B21-1)&lt;=0.03,"MATCH (within 3%)",IF(ABS(J21/$B21-2)&lt;=0.06,"DOUBLE-TIME ERROR",IF(ABS(J21/$B21-0.5)&lt;=0.03,"HALF-TIME ERROR","BPM ERROR"))),"n/a"),"GT UNKNOWN")</f>
        <v/>
      </c>
      <c r="W21">
        <f>IF(ISNUMBER($B21),IF(ISNUMBER(K21),IF(ABS(K21/$B21-1)&lt;=0.03,"MATCH (within 3%)",IF(ABS(K21/$B21-2)&lt;=0.06,"DOUBLE-TIME ERROR",IF(ABS(K21/$B21-0.5)&lt;=0.03,"HALF-TIME ERROR","BPM ERROR"))),"n/a"),"GT UNKNOWN")</f>
        <v/>
      </c>
      <c r="X21">
        <f>IF(ISNUMBER($B21),IF(ISNUMBER(L21),IF(ABS(L21/$B21-1)&lt;=0.03,"MATCH (within 3%)",IF(ABS(L21/$B21-2)&lt;=0.06,"DOUBLE-TIME ERROR",IF(ABS(L21/$B21-0.5)&lt;=0.03,"HALF-TIME ERROR","BPM ERROR"))),"n/a"),"GT UNKNOWN")</f>
        <v/>
      </c>
      <c r="Y21" t="n">
        <v>56.2</v>
      </c>
      <c r="Z21" t="n">
        <v>224.7</v>
      </c>
      <c r="AA21" t="inlineStr">
        <is>
          <t>LOW</t>
        </is>
      </c>
      <c r="AB21" t="inlineStr">
        <is>
          <t>methods disagree (octave/tempo ambiguity); pulse support 2/6 methods; octave ambiguity possible - confirm by ear/metronome</t>
        </is>
      </c>
      <c r="AC21" t="n">
        <v>183</v>
      </c>
      <c r="AD21" t="n">
        <v>6.3</v>
      </c>
      <c r="AE21" t="inlineStr">
        <is>
          <t>ess_multifeature=113.7, ess_degara=105.7, lib_beat_track=112.3, tempogram=215.3, autocorr=53.8, ioi_hist=91.0</t>
        </is>
      </c>
    </row>
  </sheetData>
  <dataValidations count="2">
    <dataValidation sqref="C2:C21" showDropDown="0" showInputMessage="0" showErrorMessage="0" allowBlank="1" type="list">
      <formula1>"KNOWN_METRONOME,MANUAL_TAP,ESTIMATED_MULTI_METHOD,UNKNOWN - awaiting metronome setting / tap,MANUAL_ENTRY"</formula1>
    </dataValidation>
    <dataValidation sqref="D2:D21" showDropDown="0" showInputMessage="0" showErrorMessage="0" allowBlank="1" type="list">
      <formula1>"EXACT_REFERENCE,HIGH,MEDIUM,LOW,UNVERIFIED,NONE"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1" sqref="E11"/>
    </sheetView>
  </sheetViews>
  <sheetFormatPr baseColWidth="8" defaultRowHeight="14.4"/>
  <cols>
    <col width="10" customWidth="1" min="1" max="1"/>
    <col width="16" customWidth="1" min="2" max="2"/>
    <col width="36" customWidth="1" min="3" max="3"/>
    <col width="14" customWidth="1" min="4" max="6"/>
    <col width="16" customWidth="1" min="7" max="8"/>
    <col width="12" customWidth="1" min="9" max="15"/>
    <col width="100" customWidth="1" min="16" max="16"/>
  </cols>
  <sheetData>
    <row r="1" ht="45" customHeight="1">
      <c r="A1" s="30" t="inlineStr">
        <is>
          <t>Test ID</t>
        </is>
      </c>
      <c r="B1" s="30" t="inlineStr">
        <is>
          <t>Time Signature Ground Truth</t>
        </is>
      </c>
      <c r="C1" s="30" t="inlineStr">
        <is>
          <t>Time Signature Ground Truth Method</t>
        </is>
      </c>
      <c r="D1" s="30" t="inlineStr">
        <is>
          <t>Metronome Time Signature</t>
        </is>
      </c>
      <c r="E1" s="30" t="inlineStr">
        <is>
          <t>Time Signature - Wilsify AI</t>
        </is>
      </c>
      <c r="F1" s="30" t="inlineStr">
        <is>
          <t>Time Signature - Chord AI</t>
        </is>
      </c>
      <c r="G1" s="30" t="inlineStr">
        <is>
          <t>Time Signature - Other Repo</t>
        </is>
      </c>
      <c r="H1" s="30" t="inlineStr">
        <is>
          <t>Time Signature - Claude</t>
        </is>
      </c>
      <c r="I1" s="30" t="inlineStr">
        <is>
          <t>Wilsify Correct?</t>
        </is>
      </c>
      <c r="J1" s="30" t="inlineStr">
        <is>
          <t>Chord AI Correct?</t>
        </is>
      </c>
      <c r="K1" s="30" t="inlineStr">
        <is>
          <t>Other Repo Correct?</t>
        </is>
      </c>
      <c r="L1" s="30" t="inlineStr">
        <is>
          <t>Claude Correct?</t>
        </is>
      </c>
      <c r="M1" s="30" t="inlineStr">
        <is>
          <t>Detected Beat Grouping</t>
        </is>
      </c>
      <c r="N1" s="30" t="inlineStr">
        <is>
          <t>Detected Subdivision</t>
        </is>
      </c>
      <c r="O1" s="30" t="inlineStr">
        <is>
          <t>Meter Confidence</t>
        </is>
      </c>
      <c r="P1" s="30" t="inlineStr">
        <is>
          <t>Meter Notes</t>
        </is>
      </c>
    </row>
    <row r="2">
      <c r="A2" t="inlineStr">
        <is>
          <t>TEST_001</t>
        </is>
      </c>
      <c r="B2" s="31" t="n"/>
      <c r="C2" s="31" t="inlineStr">
        <is>
          <t>UNKNOWN - awaiting metronome setting / by ear</t>
        </is>
      </c>
      <c r="D2" s="31" t="n"/>
      <c r="E2">
        <f>IFERROR(IF(INDEX(SONG_LEVEL_TRUTH!$O$2:$O$200,MATCH($A2,SONG_LEVEL_TRUTH!$A$2:$A$200,0))="","",INDEX(SONG_LEVEL_TRUTH!$O$2:$O$200,MATCH($A2,SONG_LEVEL_TRUTH!$A$2:$A$200,0))),"")</f>
        <v/>
      </c>
      <c r="F2">
        <f>IFERROR(IF(INDEX(SONG_LEVEL_TRUTH!$P$2:$P$200,MATCH($A2,SONG_LEVEL_TRUTH!$A$2:$A$200,0))="","",INDEX(SONG_LEVEL_TRUTH!$P$2:$P$200,MATCH($A2,SONG_LEVEL_TRUTH!$A$2:$A$200,0))),"")</f>
        <v/>
      </c>
      <c r="G2">
        <f>IFERROR(IF(INDEX(SONG_LEVEL_TRUTH!$Q$2:$Q$200,MATCH($A2,SONG_LEVEL_TRUTH!$A$2:$A$200,0))="","",INDEX(SONG_LEVEL_TRUTH!$Q$2:$Q$200,MATCH($A2,SONG_LEVEL_TRUTH!$A$2:$A$200,0))),"")</f>
        <v/>
      </c>
      <c r="H2">
        <f>IFERROR(IF(INDEX(SONG_LEVEL_TRUTH!$R$2:$R$200,MATCH($A2,SONG_LEVEL_TRUTH!$A$2:$A$200,0))="","",INDEX(SONG_LEVEL_TRUTH!$R$2:$R$200,MATCH($A2,SONG_LEVEL_TRUTH!$A$2:$A$200,0))),"")</f>
        <v/>
      </c>
      <c r="I2">
        <f>IF(OR($B2="",LEFT($B2,7)="UNKNOWN"),"GT UNKNOWN",IF(TRIM(E2)=TRIM($B2),"YES","NO"))</f>
        <v/>
      </c>
      <c r="J2">
        <f>IF(OR($B2="",LEFT($B2,7)="UNKNOWN"),"GT UNKNOWN",IF(TRIM(F2)=TRIM($B2),"YES","NO"))</f>
        <v/>
      </c>
      <c r="K2">
        <f>IF(OR($B2="",LEFT($B2,7)="UNKNOWN"),"GT UNKNOWN",IF(TRIM(G2)=TRIM($B2),"YES","NO"))</f>
        <v/>
      </c>
      <c r="L2">
        <f>IF(OR($B2="",LEFT($B2,7)="UNKNOWN"),"GT UNKNOWN",IF(TRIM(H2)=TRIM($B2),"YES","NO"))</f>
        <v/>
      </c>
      <c r="M2" t="n">
        <v>3</v>
      </c>
      <c r="N2" t="n">
        <v>2</v>
      </c>
      <c r="O2" t="inlineStr">
        <is>
          <t>MEDIUM</t>
        </is>
      </c>
      <c r="P2" t="inlineStr">
        <is>
          <t>accent period=3 beats (score 1.00, margin 0.46); triplet-vs-duple subdiv ratio 0.98; 61 beats | guitar-only: accent evidence is weak, treat as a hypothesis</t>
        </is>
      </c>
    </row>
    <row r="3">
      <c r="A3" t="inlineStr">
        <is>
          <t>TEST_002</t>
        </is>
      </c>
      <c r="B3" s="31" t="n"/>
      <c r="C3" s="31" t="inlineStr">
        <is>
          <t>UNKNOWN - awaiting metronome setting / by ear</t>
        </is>
      </c>
      <c r="D3" s="31" t="n"/>
      <c r="E3">
        <f>IFERROR(IF(INDEX(SONG_LEVEL_TRUTH!$O$2:$O$200,MATCH($A3,SONG_LEVEL_TRUTH!$A$2:$A$200,0))="","",INDEX(SONG_LEVEL_TRUTH!$O$2:$O$200,MATCH($A3,SONG_LEVEL_TRUTH!$A$2:$A$200,0))),"")</f>
        <v/>
      </c>
      <c r="F3">
        <f>IFERROR(IF(INDEX(SONG_LEVEL_TRUTH!$P$2:$P$200,MATCH($A3,SONG_LEVEL_TRUTH!$A$2:$A$200,0))="","",INDEX(SONG_LEVEL_TRUTH!$P$2:$P$200,MATCH($A3,SONG_LEVEL_TRUTH!$A$2:$A$200,0))),"")</f>
        <v/>
      </c>
      <c r="G3">
        <f>IFERROR(IF(INDEX(SONG_LEVEL_TRUTH!$Q$2:$Q$200,MATCH($A3,SONG_LEVEL_TRUTH!$A$2:$A$200,0))="","",INDEX(SONG_LEVEL_TRUTH!$Q$2:$Q$200,MATCH($A3,SONG_LEVEL_TRUTH!$A$2:$A$200,0))),"")</f>
        <v/>
      </c>
      <c r="H3">
        <f>IFERROR(IF(INDEX(SONG_LEVEL_TRUTH!$R$2:$R$200,MATCH($A3,SONG_LEVEL_TRUTH!$A$2:$A$200,0))="","",INDEX(SONG_LEVEL_TRUTH!$R$2:$R$200,MATCH($A3,SONG_LEVEL_TRUTH!$A$2:$A$200,0))),"")</f>
        <v/>
      </c>
      <c r="I3">
        <f>IF(OR($B3="",LEFT($B3,7)="UNKNOWN"),"GT UNKNOWN",IF(TRIM(E3)=TRIM($B3),"YES","NO"))</f>
        <v/>
      </c>
      <c r="J3">
        <f>IF(OR($B3="",LEFT($B3,7)="UNKNOWN"),"GT UNKNOWN",IF(TRIM(F3)=TRIM($B3),"YES","NO"))</f>
        <v/>
      </c>
      <c r="K3">
        <f>IF(OR($B3="",LEFT($B3,7)="UNKNOWN"),"GT UNKNOWN",IF(TRIM(G3)=TRIM($B3),"YES","NO"))</f>
        <v/>
      </c>
      <c r="L3">
        <f>IF(OR($B3="",LEFT($B3,7)="UNKNOWN"),"GT UNKNOWN",IF(TRIM(H3)=TRIM($B3),"YES","NO"))</f>
        <v/>
      </c>
      <c r="O3" t="inlineStr">
        <is>
          <t>LOW</t>
        </is>
      </c>
      <c r="P3" t="inlineStr">
        <is>
          <t>accent period=2 beats (score 0.09, margin 0.04); triplet-vs-duple subdiv ratio 1.00; 405 beats | guitar-only: accent evidence is weak, treat as a hypothesis</t>
        </is>
      </c>
    </row>
    <row r="4">
      <c r="A4" t="inlineStr">
        <is>
          <t>TEST_003</t>
        </is>
      </c>
      <c r="B4" s="31" t="n"/>
      <c r="C4" s="31" t="inlineStr">
        <is>
          <t>UNKNOWN - awaiting metronome setting / by ear</t>
        </is>
      </c>
      <c r="D4" s="31" t="n"/>
      <c r="E4">
        <f>IFERROR(IF(INDEX(SONG_LEVEL_TRUTH!$O$2:$O$200,MATCH($A4,SONG_LEVEL_TRUTH!$A$2:$A$200,0))="","",INDEX(SONG_LEVEL_TRUTH!$O$2:$O$200,MATCH($A4,SONG_LEVEL_TRUTH!$A$2:$A$200,0))),"")</f>
        <v/>
      </c>
      <c r="F4">
        <f>IFERROR(IF(INDEX(SONG_LEVEL_TRUTH!$P$2:$P$200,MATCH($A4,SONG_LEVEL_TRUTH!$A$2:$A$200,0))="","",INDEX(SONG_LEVEL_TRUTH!$P$2:$P$200,MATCH($A4,SONG_LEVEL_TRUTH!$A$2:$A$200,0))),"")</f>
        <v/>
      </c>
      <c r="G4">
        <f>IFERROR(IF(INDEX(SONG_LEVEL_TRUTH!$Q$2:$Q$200,MATCH($A4,SONG_LEVEL_TRUTH!$A$2:$A$200,0))="","",INDEX(SONG_LEVEL_TRUTH!$Q$2:$Q$200,MATCH($A4,SONG_LEVEL_TRUTH!$A$2:$A$200,0))),"")</f>
        <v/>
      </c>
      <c r="H4">
        <f>IFERROR(IF(INDEX(SONG_LEVEL_TRUTH!$R$2:$R$200,MATCH($A4,SONG_LEVEL_TRUTH!$A$2:$A$200,0))="","",INDEX(SONG_LEVEL_TRUTH!$R$2:$R$200,MATCH($A4,SONG_LEVEL_TRUTH!$A$2:$A$200,0))),"")</f>
        <v/>
      </c>
      <c r="I4">
        <f>IF(OR($B4="",LEFT($B4,7)="UNKNOWN"),"GT UNKNOWN",IF(TRIM(E4)=TRIM($B4),"YES","NO"))</f>
        <v/>
      </c>
      <c r="J4">
        <f>IF(OR($B4="",LEFT($B4,7)="UNKNOWN"),"GT UNKNOWN",IF(TRIM(F4)=TRIM($B4),"YES","NO"))</f>
        <v/>
      </c>
      <c r="K4">
        <f>IF(OR($B4="",LEFT($B4,7)="UNKNOWN"),"GT UNKNOWN",IF(TRIM(G4)=TRIM($B4),"YES","NO"))</f>
        <v/>
      </c>
      <c r="L4">
        <f>IF(OR($B4="",LEFT($B4,7)="UNKNOWN"),"GT UNKNOWN",IF(TRIM(H4)=TRIM($B4),"YES","NO"))</f>
        <v/>
      </c>
      <c r="M4" t="n">
        <v>4</v>
      </c>
      <c r="N4" t="n">
        <v>2</v>
      </c>
      <c r="O4" t="inlineStr">
        <is>
          <t>MEDIUM</t>
        </is>
      </c>
      <c r="P4" t="inlineStr">
        <is>
          <t>accent period=4 beats (score 0.62, margin 0.39); triplet-vs-duple subdiv ratio 0.99; 66 beats | guitar-only: accent evidence is weak, treat as a hypothesis</t>
        </is>
      </c>
    </row>
    <row r="5">
      <c r="A5" t="inlineStr">
        <is>
          <t>TEST_004</t>
        </is>
      </c>
      <c r="B5" s="31" t="n"/>
      <c r="C5" s="31" t="inlineStr">
        <is>
          <t>UNKNOWN - awaiting metronome setting / by ear</t>
        </is>
      </c>
      <c r="D5" s="31" t="n"/>
      <c r="E5">
        <f>IFERROR(IF(INDEX(SONG_LEVEL_TRUTH!$O$2:$O$200,MATCH($A5,SONG_LEVEL_TRUTH!$A$2:$A$200,0))="","",INDEX(SONG_LEVEL_TRUTH!$O$2:$O$200,MATCH($A5,SONG_LEVEL_TRUTH!$A$2:$A$200,0))),"")</f>
        <v/>
      </c>
      <c r="F5">
        <f>IFERROR(IF(INDEX(SONG_LEVEL_TRUTH!$P$2:$P$200,MATCH($A5,SONG_LEVEL_TRUTH!$A$2:$A$200,0))="","",INDEX(SONG_LEVEL_TRUTH!$P$2:$P$200,MATCH($A5,SONG_LEVEL_TRUTH!$A$2:$A$200,0))),"")</f>
        <v/>
      </c>
      <c r="G5">
        <f>IFERROR(IF(INDEX(SONG_LEVEL_TRUTH!$Q$2:$Q$200,MATCH($A5,SONG_LEVEL_TRUTH!$A$2:$A$200,0))="","",INDEX(SONG_LEVEL_TRUTH!$Q$2:$Q$200,MATCH($A5,SONG_LEVEL_TRUTH!$A$2:$A$200,0))),"")</f>
        <v/>
      </c>
      <c r="H5">
        <f>IFERROR(IF(INDEX(SONG_LEVEL_TRUTH!$R$2:$R$200,MATCH($A5,SONG_LEVEL_TRUTH!$A$2:$A$200,0))="","",INDEX(SONG_LEVEL_TRUTH!$R$2:$R$200,MATCH($A5,SONG_LEVEL_TRUTH!$A$2:$A$200,0))),"")</f>
        <v/>
      </c>
      <c r="I5">
        <f>IF(OR($B5="",LEFT($B5,7)="UNKNOWN"),"GT UNKNOWN",IF(TRIM(E5)=TRIM($B5),"YES","NO"))</f>
        <v/>
      </c>
      <c r="J5">
        <f>IF(OR($B5="",LEFT($B5,7)="UNKNOWN"),"GT UNKNOWN",IF(TRIM(F5)=TRIM($B5),"YES","NO"))</f>
        <v/>
      </c>
      <c r="K5">
        <f>IF(OR($B5="",LEFT($B5,7)="UNKNOWN"),"GT UNKNOWN",IF(TRIM(G5)=TRIM($B5),"YES","NO"))</f>
        <v/>
      </c>
      <c r="L5">
        <f>IF(OR($B5="",LEFT($B5,7)="UNKNOWN"),"GT UNKNOWN",IF(TRIM(H5)=TRIM($B5),"YES","NO"))</f>
        <v/>
      </c>
      <c r="M5" t="n">
        <v>2</v>
      </c>
      <c r="N5" t="n">
        <v>2</v>
      </c>
      <c r="O5" t="inlineStr">
        <is>
          <t>LOW</t>
        </is>
      </c>
      <c r="P5" t="inlineStr">
        <is>
          <t>accent period=2 beats (score 0.58, margin 0.20); triplet-vs-duple subdiv ratio 1.04; 171 beats | guitar-only: accent evidence is weak, treat as a hypothesis</t>
        </is>
      </c>
    </row>
    <row r="6">
      <c r="A6" t="inlineStr">
        <is>
          <t>TEST_005</t>
        </is>
      </c>
      <c r="B6" s="31" t="n"/>
      <c r="C6" s="31" t="inlineStr">
        <is>
          <t>UNKNOWN - awaiting metronome setting / by ear</t>
        </is>
      </c>
      <c r="D6" s="31" t="n"/>
      <c r="E6">
        <f>IFERROR(IF(INDEX(SONG_LEVEL_TRUTH!$O$2:$O$200,MATCH($A6,SONG_LEVEL_TRUTH!$A$2:$A$200,0))="","",INDEX(SONG_LEVEL_TRUTH!$O$2:$O$200,MATCH($A6,SONG_LEVEL_TRUTH!$A$2:$A$200,0))),"")</f>
        <v/>
      </c>
      <c r="F6">
        <f>IFERROR(IF(INDEX(SONG_LEVEL_TRUTH!$P$2:$P$200,MATCH($A6,SONG_LEVEL_TRUTH!$A$2:$A$200,0))="","",INDEX(SONG_LEVEL_TRUTH!$P$2:$P$200,MATCH($A6,SONG_LEVEL_TRUTH!$A$2:$A$200,0))),"")</f>
        <v/>
      </c>
      <c r="G6">
        <f>IFERROR(IF(INDEX(SONG_LEVEL_TRUTH!$Q$2:$Q$200,MATCH($A6,SONG_LEVEL_TRUTH!$A$2:$A$200,0))="","",INDEX(SONG_LEVEL_TRUTH!$Q$2:$Q$200,MATCH($A6,SONG_LEVEL_TRUTH!$A$2:$A$200,0))),"")</f>
        <v/>
      </c>
      <c r="H6">
        <f>IFERROR(IF(INDEX(SONG_LEVEL_TRUTH!$R$2:$R$200,MATCH($A6,SONG_LEVEL_TRUTH!$A$2:$A$200,0))="","",INDEX(SONG_LEVEL_TRUTH!$R$2:$R$200,MATCH($A6,SONG_LEVEL_TRUTH!$A$2:$A$200,0))),"")</f>
        <v/>
      </c>
      <c r="I6">
        <f>IF(OR($B6="",LEFT($B6,7)="UNKNOWN"),"GT UNKNOWN",IF(TRIM(E6)=TRIM($B6),"YES","NO"))</f>
        <v/>
      </c>
      <c r="J6">
        <f>IF(OR($B6="",LEFT($B6,7)="UNKNOWN"),"GT UNKNOWN",IF(TRIM(F6)=TRIM($B6),"YES","NO"))</f>
        <v/>
      </c>
      <c r="K6">
        <f>IF(OR($B6="",LEFT($B6,7)="UNKNOWN"),"GT UNKNOWN",IF(TRIM(G6)=TRIM($B6),"YES","NO"))</f>
        <v/>
      </c>
      <c r="L6">
        <f>IF(OR($B6="",LEFT($B6,7)="UNKNOWN"),"GT UNKNOWN",IF(TRIM(H6)=TRIM($B6),"YES","NO"))</f>
        <v/>
      </c>
      <c r="O6" t="inlineStr">
        <is>
          <t>LOW</t>
        </is>
      </c>
      <c r="P6" t="inlineStr">
        <is>
          <t>accent period=4 beats (score 0.87, margin 0.07); triplet-vs-duple subdiv ratio 0.59; 65 beats | guitar-only: accent evidence is weak, treat as a hypothesis</t>
        </is>
      </c>
    </row>
    <row r="7">
      <c r="A7" t="inlineStr">
        <is>
          <t>TEST_006</t>
        </is>
      </c>
      <c r="B7" s="31" t="n"/>
      <c r="C7" s="31" t="inlineStr">
        <is>
          <t>UNKNOWN - awaiting metronome setting / by ear</t>
        </is>
      </c>
      <c r="D7" s="31" t="n"/>
      <c r="E7">
        <f>IFERROR(IF(INDEX(SONG_LEVEL_TRUTH!$O$2:$O$200,MATCH($A7,SONG_LEVEL_TRUTH!$A$2:$A$200,0))="","",INDEX(SONG_LEVEL_TRUTH!$O$2:$O$200,MATCH($A7,SONG_LEVEL_TRUTH!$A$2:$A$200,0))),"")</f>
        <v/>
      </c>
      <c r="F7">
        <f>IFERROR(IF(INDEX(SONG_LEVEL_TRUTH!$P$2:$P$200,MATCH($A7,SONG_LEVEL_TRUTH!$A$2:$A$200,0))="","",INDEX(SONG_LEVEL_TRUTH!$P$2:$P$200,MATCH($A7,SONG_LEVEL_TRUTH!$A$2:$A$200,0))),"")</f>
        <v/>
      </c>
      <c r="G7">
        <f>IFERROR(IF(INDEX(SONG_LEVEL_TRUTH!$Q$2:$Q$200,MATCH($A7,SONG_LEVEL_TRUTH!$A$2:$A$200,0))="","",INDEX(SONG_LEVEL_TRUTH!$Q$2:$Q$200,MATCH($A7,SONG_LEVEL_TRUTH!$A$2:$A$200,0))),"")</f>
        <v/>
      </c>
      <c r="H7">
        <f>IFERROR(IF(INDEX(SONG_LEVEL_TRUTH!$R$2:$R$200,MATCH($A7,SONG_LEVEL_TRUTH!$A$2:$A$200,0))="","",INDEX(SONG_LEVEL_TRUTH!$R$2:$R$200,MATCH($A7,SONG_LEVEL_TRUTH!$A$2:$A$200,0))),"")</f>
        <v/>
      </c>
      <c r="I7">
        <f>IF(OR($B7="",LEFT($B7,7)="UNKNOWN"),"GT UNKNOWN",IF(TRIM(E7)=TRIM($B7),"YES","NO"))</f>
        <v/>
      </c>
      <c r="J7">
        <f>IF(OR($B7="",LEFT($B7,7)="UNKNOWN"),"GT UNKNOWN",IF(TRIM(F7)=TRIM($B7),"YES","NO"))</f>
        <v/>
      </c>
      <c r="K7">
        <f>IF(OR($B7="",LEFT($B7,7)="UNKNOWN"),"GT UNKNOWN",IF(TRIM(G7)=TRIM($B7),"YES","NO"))</f>
        <v/>
      </c>
      <c r="L7">
        <f>IF(OR($B7="",LEFT($B7,7)="UNKNOWN"),"GT UNKNOWN",IF(TRIM(H7)=TRIM($B7),"YES","NO"))</f>
        <v/>
      </c>
      <c r="M7" t="n">
        <v>4</v>
      </c>
      <c r="N7" t="n">
        <v>3</v>
      </c>
      <c r="O7" t="inlineStr">
        <is>
          <t>LOW</t>
        </is>
      </c>
      <c r="P7" t="inlineStr">
        <is>
          <t>accent period=4 beats (score 0.34, margin 0.21); triplet-vs-duple subdiv ratio 1.53; 125 beats | guitar-only: accent evidence is weak, treat as a hypothesis</t>
        </is>
      </c>
    </row>
    <row r="8">
      <c r="A8" t="inlineStr">
        <is>
          <t>TEST_007</t>
        </is>
      </c>
      <c r="B8" s="31" t="n"/>
      <c r="C8" s="31" t="inlineStr">
        <is>
          <t>UNKNOWN - awaiting metronome setting / by ear</t>
        </is>
      </c>
      <c r="D8" s="31" t="n"/>
      <c r="E8">
        <f>IFERROR(IF(INDEX(SONG_LEVEL_TRUTH!$O$2:$O$200,MATCH($A8,SONG_LEVEL_TRUTH!$A$2:$A$200,0))="","",INDEX(SONG_LEVEL_TRUTH!$O$2:$O$200,MATCH($A8,SONG_LEVEL_TRUTH!$A$2:$A$200,0))),"")</f>
        <v/>
      </c>
      <c r="F8">
        <f>IFERROR(IF(INDEX(SONG_LEVEL_TRUTH!$P$2:$P$200,MATCH($A8,SONG_LEVEL_TRUTH!$A$2:$A$200,0))="","",INDEX(SONG_LEVEL_TRUTH!$P$2:$P$200,MATCH($A8,SONG_LEVEL_TRUTH!$A$2:$A$200,0))),"")</f>
        <v/>
      </c>
      <c r="G8">
        <f>IFERROR(IF(INDEX(SONG_LEVEL_TRUTH!$Q$2:$Q$200,MATCH($A8,SONG_LEVEL_TRUTH!$A$2:$A$200,0))="","",INDEX(SONG_LEVEL_TRUTH!$Q$2:$Q$200,MATCH($A8,SONG_LEVEL_TRUTH!$A$2:$A$200,0))),"")</f>
        <v/>
      </c>
      <c r="H8">
        <f>IFERROR(IF(INDEX(SONG_LEVEL_TRUTH!$R$2:$R$200,MATCH($A8,SONG_LEVEL_TRUTH!$A$2:$A$200,0))="","",INDEX(SONG_LEVEL_TRUTH!$R$2:$R$200,MATCH($A8,SONG_LEVEL_TRUTH!$A$2:$A$200,0))),"")</f>
        <v/>
      </c>
      <c r="I8">
        <f>IF(OR($B8="",LEFT($B8,7)="UNKNOWN"),"GT UNKNOWN",IF(TRIM(E8)=TRIM($B8),"YES","NO"))</f>
        <v/>
      </c>
      <c r="J8">
        <f>IF(OR($B8="",LEFT($B8,7)="UNKNOWN"),"GT UNKNOWN",IF(TRIM(F8)=TRIM($B8),"YES","NO"))</f>
        <v/>
      </c>
      <c r="K8">
        <f>IF(OR($B8="",LEFT($B8,7)="UNKNOWN"),"GT UNKNOWN",IF(TRIM(G8)=TRIM($B8),"YES","NO"))</f>
        <v/>
      </c>
      <c r="L8">
        <f>IF(OR($B8="",LEFT($B8,7)="UNKNOWN"),"GT UNKNOWN",IF(TRIM(H8)=TRIM($B8),"YES","NO"))</f>
        <v/>
      </c>
      <c r="O8" t="inlineStr">
        <is>
          <t>LOW</t>
        </is>
      </c>
      <c r="P8" t="inlineStr">
        <is>
          <t>accent period=2 beats (score 0.44, margin 0.02); triplet-vs-duple subdiv ratio 1.55; 62 beats | guitar-only: accent evidence is weak, treat as a hypothesis</t>
        </is>
      </c>
    </row>
    <row r="9">
      <c r="A9" t="inlineStr">
        <is>
          <t>TEST_008</t>
        </is>
      </c>
      <c r="B9" s="31" t="n"/>
      <c r="C9" s="31" t="inlineStr">
        <is>
          <t>UNKNOWN - awaiting metronome setting / by ear</t>
        </is>
      </c>
      <c r="D9" s="31" t="n"/>
      <c r="E9">
        <f>IFERROR(IF(INDEX(SONG_LEVEL_TRUTH!$O$2:$O$200,MATCH($A9,SONG_LEVEL_TRUTH!$A$2:$A$200,0))="","",INDEX(SONG_LEVEL_TRUTH!$O$2:$O$200,MATCH($A9,SONG_LEVEL_TRUTH!$A$2:$A$200,0))),"")</f>
        <v/>
      </c>
      <c r="F9">
        <f>IFERROR(IF(INDEX(SONG_LEVEL_TRUTH!$P$2:$P$200,MATCH($A9,SONG_LEVEL_TRUTH!$A$2:$A$200,0))="","",INDEX(SONG_LEVEL_TRUTH!$P$2:$P$200,MATCH($A9,SONG_LEVEL_TRUTH!$A$2:$A$200,0))),"")</f>
        <v/>
      </c>
      <c r="G9">
        <f>IFERROR(IF(INDEX(SONG_LEVEL_TRUTH!$Q$2:$Q$200,MATCH($A9,SONG_LEVEL_TRUTH!$A$2:$A$200,0))="","",INDEX(SONG_LEVEL_TRUTH!$Q$2:$Q$200,MATCH($A9,SONG_LEVEL_TRUTH!$A$2:$A$200,0))),"")</f>
        <v/>
      </c>
      <c r="H9">
        <f>IFERROR(IF(INDEX(SONG_LEVEL_TRUTH!$R$2:$R$200,MATCH($A9,SONG_LEVEL_TRUTH!$A$2:$A$200,0))="","",INDEX(SONG_LEVEL_TRUTH!$R$2:$R$200,MATCH($A9,SONG_LEVEL_TRUTH!$A$2:$A$200,0))),"")</f>
        <v/>
      </c>
      <c r="I9">
        <f>IF(OR($B9="",LEFT($B9,7)="UNKNOWN"),"GT UNKNOWN",IF(TRIM(E9)=TRIM($B9),"YES","NO"))</f>
        <v/>
      </c>
      <c r="J9">
        <f>IF(OR($B9="",LEFT($B9,7)="UNKNOWN"),"GT UNKNOWN",IF(TRIM(F9)=TRIM($B9),"YES","NO"))</f>
        <v/>
      </c>
      <c r="K9">
        <f>IF(OR($B9="",LEFT($B9,7)="UNKNOWN"),"GT UNKNOWN",IF(TRIM(G9)=TRIM($B9),"YES","NO"))</f>
        <v/>
      </c>
      <c r="L9">
        <f>IF(OR($B9="",LEFT($B9,7)="UNKNOWN"),"GT UNKNOWN",IF(TRIM(H9)=TRIM($B9),"YES","NO"))</f>
        <v/>
      </c>
      <c r="M9" t="n">
        <v>2</v>
      </c>
      <c r="N9" t="n">
        <v>2</v>
      </c>
      <c r="O9" t="inlineStr">
        <is>
          <t>MEDIUM</t>
        </is>
      </c>
      <c r="P9" t="inlineStr">
        <is>
          <t>accent period=2 beats (score 1.44, margin 0.82); triplet-vs-duple subdiv ratio 0.49; 48 beats | guitar-only: accent evidence is weak, treat as a hypothesis</t>
        </is>
      </c>
    </row>
    <row r="10">
      <c r="A10" t="inlineStr">
        <is>
          <t>TEST_009</t>
        </is>
      </c>
      <c r="B10" s="31" t="n"/>
      <c r="C10" s="31" t="inlineStr">
        <is>
          <t>UNKNOWN - awaiting metronome setting / by ear</t>
        </is>
      </c>
      <c r="D10" s="31" t="n"/>
      <c r="E10">
        <f>IFERROR(IF(INDEX(SONG_LEVEL_TRUTH!$O$2:$O$200,MATCH($A10,SONG_LEVEL_TRUTH!$A$2:$A$200,0))="","",INDEX(SONG_LEVEL_TRUTH!$O$2:$O$200,MATCH($A10,SONG_LEVEL_TRUTH!$A$2:$A$200,0))),"")</f>
        <v/>
      </c>
      <c r="F10">
        <f>IFERROR(IF(INDEX(SONG_LEVEL_TRUTH!$P$2:$P$200,MATCH($A10,SONG_LEVEL_TRUTH!$A$2:$A$200,0))="","",INDEX(SONG_LEVEL_TRUTH!$P$2:$P$200,MATCH($A10,SONG_LEVEL_TRUTH!$A$2:$A$200,0))),"")</f>
        <v/>
      </c>
      <c r="G10">
        <f>IFERROR(IF(INDEX(SONG_LEVEL_TRUTH!$Q$2:$Q$200,MATCH($A10,SONG_LEVEL_TRUTH!$A$2:$A$200,0))="","",INDEX(SONG_LEVEL_TRUTH!$Q$2:$Q$200,MATCH($A10,SONG_LEVEL_TRUTH!$A$2:$A$200,0))),"")</f>
        <v/>
      </c>
      <c r="H10">
        <f>IFERROR(IF(INDEX(SONG_LEVEL_TRUTH!$R$2:$R$200,MATCH($A10,SONG_LEVEL_TRUTH!$A$2:$A$200,0))="","",INDEX(SONG_LEVEL_TRUTH!$R$2:$R$200,MATCH($A10,SONG_LEVEL_TRUTH!$A$2:$A$200,0))),"")</f>
        <v/>
      </c>
      <c r="I10">
        <f>IF(OR($B10="",LEFT($B10,7)="UNKNOWN"),"GT UNKNOWN",IF(TRIM(E10)=TRIM($B10),"YES","NO"))</f>
        <v/>
      </c>
      <c r="J10">
        <f>IF(OR($B10="",LEFT($B10,7)="UNKNOWN"),"GT UNKNOWN",IF(TRIM(F10)=TRIM($B10),"YES","NO"))</f>
        <v/>
      </c>
      <c r="K10">
        <f>IF(OR($B10="",LEFT($B10,7)="UNKNOWN"),"GT UNKNOWN",IF(TRIM(G10)=TRIM($B10),"YES","NO"))</f>
        <v/>
      </c>
      <c r="L10">
        <f>IF(OR($B10="",LEFT($B10,7)="UNKNOWN"),"GT UNKNOWN",IF(TRIM(H10)=TRIM($B10),"YES","NO"))</f>
        <v/>
      </c>
      <c r="M10" t="n">
        <v>4</v>
      </c>
      <c r="N10" t="n">
        <v>2</v>
      </c>
      <c r="O10" t="inlineStr">
        <is>
          <t>LOW</t>
        </is>
      </c>
      <c r="P10" t="inlineStr">
        <is>
          <t>accent period=4 beats (score 0.38, margin 0.09); triplet-vs-duple subdiv ratio 0.96; 116 beats | guitar-only: accent evidence is weak, treat as a hypothesis</t>
        </is>
      </c>
    </row>
    <row r="11">
      <c r="A11" t="inlineStr">
        <is>
          <t>TEST_010</t>
        </is>
      </c>
      <c r="B11" s="31" t="n"/>
      <c r="C11" s="31" t="inlineStr">
        <is>
          <t>UNKNOWN - awaiting metronome setting / by ear</t>
        </is>
      </c>
      <c r="D11" s="31" t="n"/>
      <c r="E11">
        <f>IFERROR(IF(INDEX(SONG_LEVEL_TRUTH!$O$2:$O$200,MATCH($A11,SONG_LEVEL_TRUTH!$A$2:$A$200,0))="","",INDEX(SONG_LEVEL_TRUTH!$O$2:$O$200,MATCH($A11,SONG_LEVEL_TRUTH!$A$2:$A$200,0))),"")</f>
        <v/>
      </c>
      <c r="F11">
        <f>IFERROR(IF(INDEX(SONG_LEVEL_TRUTH!$P$2:$P$200,MATCH($A11,SONG_LEVEL_TRUTH!$A$2:$A$200,0))="","",INDEX(SONG_LEVEL_TRUTH!$P$2:$P$200,MATCH($A11,SONG_LEVEL_TRUTH!$A$2:$A$200,0))),"")</f>
        <v/>
      </c>
      <c r="G11">
        <f>IFERROR(IF(INDEX(SONG_LEVEL_TRUTH!$Q$2:$Q$200,MATCH($A11,SONG_LEVEL_TRUTH!$A$2:$A$200,0))="","",INDEX(SONG_LEVEL_TRUTH!$Q$2:$Q$200,MATCH($A11,SONG_LEVEL_TRUTH!$A$2:$A$200,0))),"")</f>
        <v/>
      </c>
      <c r="H11">
        <f>IFERROR(IF(INDEX(SONG_LEVEL_TRUTH!$R$2:$R$200,MATCH($A11,SONG_LEVEL_TRUTH!$A$2:$A$200,0))="","",INDEX(SONG_LEVEL_TRUTH!$R$2:$R$200,MATCH($A11,SONG_LEVEL_TRUTH!$A$2:$A$200,0))),"")</f>
        <v/>
      </c>
      <c r="I11">
        <f>IF(OR($B11="",LEFT($B11,7)="UNKNOWN"),"GT UNKNOWN",IF(TRIM(E11)=TRIM($B11),"YES","NO"))</f>
        <v/>
      </c>
      <c r="J11">
        <f>IF(OR($B11="",LEFT($B11,7)="UNKNOWN"),"GT UNKNOWN",IF(TRIM(F11)=TRIM($B11),"YES","NO"))</f>
        <v/>
      </c>
      <c r="K11">
        <f>IF(OR($B11="",LEFT($B11,7)="UNKNOWN"),"GT UNKNOWN",IF(TRIM(G11)=TRIM($B11),"YES","NO"))</f>
        <v/>
      </c>
      <c r="L11">
        <f>IF(OR($B11="",LEFT($B11,7)="UNKNOWN"),"GT UNKNOWN",IF(TRIM(H11)=TRIM($B11),"YES","NO"))</f>
        <v/>
      </c>
      <c r="M11" t="n">
        <v>2</v>
      </c>
      <c r="N11" t="n">
        <v>3</v>
      </c>
      <c r="O11" t="inlineStr">
        <is>
          <t>MEDIUM</t>
        </is>
      </c>
      <c r="P11" t="inlineStr">
        <is>
          <t>accent period=2 beats (score 0.70, margin 0.55); triplet-vs-duple subdiv ratio 1.38; 142 beats | guitar-only: accent evidence is weak, treat as a hypothesis</t>
        </is>
      </c>
    </row>
    <row r="12">
      <c r="A12" t="inlineStr">
        <is>
          <t>TEST_011</t>
        </is>
      </c>
      <c r="B12" s="31" t="n"/>
      <c r="C12" s="31" t="inlineStr">
        <is>
          <t>UNKNOWN - awaiting metronome setting / by ear</t>
        </is>
      </c>
      <c r="D12" s="31" t="n"/>
      <c r="E12">
        <f>IFERROR(IF(INDEX(SONG_LEVEL_TRUTH!$O$2:$O$200,MATCH($A12,SONG_LEVEL_TRUTH!$A$2:$A$200,0))="","",INDEX(SONG_LEVEL_TRUTH!$O$2:$O$200,MATCH($A12,SONG_LEVEL_TRUTH!$A$2:$A$200,0))),"")</f>
        <v/>
      </c>
      <c r="F12">
        <f>IFERROR(IF(INDEX(SONG_LEVEL_TRUTH!$P$2:$P$200,MATCH($A12,SONG_LEVEL_TRUTH!$A$2:$A$200,0))="","",INDEX(SONG_LEVEL_TRUTH!$P$2:$P$200,MATCH($A12,SONG_LEVEL_TRUTH!$A$2:$A$200,0))),"")</f>
        <v/>
      </c>
      <c r="G12">
        <f>IFERROR(IF(INDEX(SONG_LEVEL_TRUTH!$Q$2:$Q$200,MATCH($A12,SONG_LEVEL_TRUTH!$A$2:$A$200,0))="","",INDEX(SONG_LEVEL_TRUTH!$Q$2:$Q$200,MATCH($A12,SONG_LEVEL_TRUTH!$A$2:$A$200,0))),"")</f>
        <v/>
      </c>
      <c r="H12">
        <f>IFERROR(IF(INDEX(SONG_LEVEL_TRUTH!$R$2:$R$200,MATCH($A12,SONG_LEVEL_TRUTH!$A$2:$A$200,0))="","",INDEX(SONG_LEVEL_TRUTH!$R$2:$R$200,MATCH($A12,SONG_LEVEL_TRUTH!$A$2:$A$200,0))),"")</f>
        <v/>
      </c>
      <c r="I12">
        <f>IF(OR($B12="",LEFT($B12,7)="UNKNOWN"),"GT UNKNOWN",IF(TRIM(E12)=TRIM($B12),"YES","NO"))</f>
        <v/>
      </c>
      <c r="J12">
        <f>IF(OR($B12="",LEFT($B12,7)="UNKNOWN"),"GT UNKNOWN",IF(TRIM(F12)=TRIM($B12),"YES","NO"))</f>
        <v/>
      </c>
      <c r="K12">
        <f>IF(OR($B12="",LEFT($B12,7)="UNKNOWN"),"GT UNKNOWN",IF(TRIM(G12)=TRIM($B12),"YES","NO"))</f>
        <v/>
      </c>
      <c r="L12">
        <f>IF(OR($B12="",LEFT($B12,7)="UNKNOWN"),"GT UNKNOWN",IF(TRIM(H12)=TRIM($B12),"YES","NO"))</f>
        <v/>
      </c>
      <c r="O12" t="inlineStr">
        <is>
          <t>LOW</t>
        </is>
      </c>
      <c r="P12" t="inlineStr">
        <is>
          <t>accent period=3 beats (score 0.13, margin 0.04); triplet-vs-duple subdiv ratio 0.91; 197 beats | guitar-only: accent evidence is weak, treat as a hypothesis</t>
        </is>
      </c>
    </row>
    <row r="13">
      <c r="A13" t="inlineStr">
        <is>
          <t>TEST_012</t>
        </is>
      </c>
      <c r="B13" s="31" t="n"/>
      <c r="C13" s="31" t="inlineStr">
        <is>
          <t>UNKNOWN - awaiting metronome setting / by ear</t>
        </is>
      </c>
      <c r="D13" s="31" t="n"/>
      <c r="E13">
        <f>IFERROR(IF(INDEX(SONG_LEVEL_TRUTH!$O$2:$O$200,MATCH($A13,SONG_LEVEL_TRUTH!$A$2:$A$200,0))="","",INDEX(SONG_LEVEL_TRUTH!$O$2:$O$200,MATCH($A13,SONG_LEVEL_TRUTH!$A$2:$A$200,0))),"")</f>
        <v/>
      </c>
      <c r="F13">
        <f>IFERROR(IF(INDEX(SONG_LEVEL_TRUTH!$P$2:$P$200,MATCH($A13,SONG_LEVEL_TRUTH!$A$2:$A$200,0))="","",INDEX(SONG_LEVEL_TRUTH!$P$2:$P$200,MATCH($A13,SONG_LEVEL_TRUTH!$A$2:$A$200,0))),"")</f>
        <v/>
      </c>
      <c r="G13">
        <f>IFERROR(IF(INDEX(SONG_LEVEL_TRUTH!$Q$2:$Q$200,MATCH($A13,SONG_LEVEL_TRUTH!$A$2:$A$200,0))="","",INDEX(SONG_LEVEL_TRUTH!$Q$2:$Q$200,MATCH($A13,SONG_LEVEL_TRUTH!$A$2:$A$200,0))),"")</f>
        <v/>
      </c>
      <c r="H13">
        <f>IFERROR(IF(INDEX(SONG_LEVEL_TRUTH!$R$2:$R$200,MATCH($A13,SONG_LEVEL_TRUTH!$A$2:$A$200,0))="","",INDEX(SONG_LEVEL_TRUTH!$R$2:$R$200,MATCH($A13,SONG_LEVEL_TRUTH!$A$2:$A$200,0))),"")</f>
        <v/>
      </c>
      <c r="I13">
        <f>IF(OR($B13="",LEFT($B13,7)="UNKNOWN"),"GT UNKNOWN",IF(TRIM(E13)=TRIM($B13),"YES","NO"))</f>
        <v/>
      </c>
      <c r="J13">
        <f>IF(OR($B13="",LEFT($B13,7)="UNKNOWN"),"GT UNKNOWN",IF(TRIM(F13)=TRIM($B13),"YES","NO"))</f>
        <v/>
      </c>
      <c r="K13">
        <f>IF(OR($B13="",LEFT($B13,7)="UNKNOWN"),"GT UNKNOWN",IF(TRIM(G13)=TRIM($B13),"YES","NO"))</f>
        <v/>
      </c>
      <c r="L13">
        <f>IF(OR($B13="",LEFT($B13,7)="UNKNOWN"),"GT UNKNOWN",IF(TRIM(H13)=TRIM($B13),"YES","NO"))</f>
        <v/>
      </c>
      <c r="O13" t="inlineStr">
        <is>
          <t>LOW</t>
        </is>
      </c>
      <c r="P13" t="inlineStr">
        <is>
          <t>accent period=4 beats (score 0.34, margin 0.02); triplet-vs-duple subdiv ratio 0.87; 78 beats | guitar-only: accent evidence is weak, treat as a hypothesis</t>
        </is>
      </c>
    </row>
    <row r="14">
      <c r="A14" t="inlineStr">
        <is>
          <t>TEST_013</t>
        </is>
      </c>
      <c r="B14" s="31" t="n"/>
      <c r="C14" s="31" t="inlineStr">
        <is>
          <t>UNKNOWN - awaiting metronome setting / by ear</t>
        </is>
      </c>
      <c r="D14" s="31" t="n"/>
      <c r="E14">
        <f>IFERROR(IF(INDEX(SONG_LEVEL_TRUTH!$O$2:$O$200,MATCH($A14,SONG_LEVEL_TRUTH!$A$2:$A$200,0))="","",INDEX(SONG_LEVEL_TRUTH!$O$2:$O$200,MATCH($A14,SONG_LEVEL_TRUTH!$A$2:$A$200,0))),"")</f>
        <v/>
      </c>
      <c r="F14">
        <f>IFERROR(IF(INDEX(SONG_LEVEL_TRUTH!$P$2:$P$200,MATCH($A14,SONG_LEVEL_TRUTH!$A$2:$A$200,0))="","",INDEX(SONG_LEVEL_TRUTH!$P$2:$P$200,MATCH($A14,SONG_LEVEL_TRUTH!$A$2:$A$200,0))),"")</f>
        <v/>
      </c>
      <c r="G14">
        <f>IFERROR(IF(INDEX(SONG_LEVEL_TRUTH!$Q$2:$Q$200,MATCH($A14,SONG_LEVEL_TRUTH!$A$2:$A$200,0))="","",INDEX(SONG_LEVEL_TRUTH!$Q$2:$Q$200,MATCH($A14,SONG_LEVEL_TRUTH!$A$2:$A$200,0))),"")</f>
        <v/>
      </c>
      <c r="H14">
        <f>IFERROR(IF(INDEX(SONG_LEVEL_TRUTH!$R$2:$R$200,MATCH($A14,SONG_LEVEL_TRUTH!$A$2:$A$200,0))="","",INDEX(SONG_LEVEL_TRUTH!$R$2:$R$200,MATCH($A14,SONG_LEVEL_TRUTH!$A$2:$A$200,0))),"")</f>
        <v/>
      </c>
      <c r="I14">
        <f>IF(OR($B14="",LEFT($B14,7)="UNKNOWN"),"GT UNKNOWN",IF(TRIM(E14)=TRIM($B14),"YES","NO"))</f>
        <v/>
      </c>
      <c r="J14">
        <f>IF(OR($B14="",LEFT($B14,7)="UNKNOWN"),"GT UNKNOWN",IF(TRIM(F14)=TRIM($B14),"YES","NO"))</f>
        <v/>
      </c>
      <c r="K14">
        <f>IF(OR($B14="",LEFT($B14,7)="UNKNOWN"),"GT UNKNOWN",IF(TRIM(G14)=TRIM($B14),"YES","NO"))</f>
        <v/>
      </c>
      <c r="L14">
        <f>IF(OR($B14="",LEFT($B14,7)="UNKNOWN"),"GT UNKNOWN",IF(TRIM(H14)=TRIM($B14),"YES","NO"))</f>
        <v/>
      </c>
      <c r="M14" t="n">
        <v>2</v>
      </c>
      <c r="N14" t="n">
        <v>2</v>
      </c>
      <c r="O14" t="inlineStr">
        <is>
          <t>MEDIUM</t>
        </is>
      </c>
      <c r="P14" t="inlineStr">
        <is>
          <t>accent period=2 beats (score 0.57, margin 0.35); triplet-vs-duple subdiv ratio 0.83; 133 beats | guitar-only: accent evidence is weak, treat as a hypothesis</t>
        </is>
      </c>
    </row>
    <row r="15">
      <c r="A15" t="inlineStr">
        <is>
          <t>TEST_014</t>
        </is>
      </c>
      <c r="B15" s="31" t="n"/>
      <c r="C15" s="31" t="inlineStr">
        <is>
          <t>UNKNOWN - awaiting metronome setting / by ear</t>
        </is>
      </c>
      <c r="D15" s="31" t="n"/>
      <c r="E15">
        <f>IFERROR(IF(INDEX(SONG_LEVEL_TRUTH!$O$2:$O$200,MATCH($A15,SONG_LEVEL_TRUTH!$A$2:$A$200,0))="","",INDEX(SONG_LEVEL_TRUTH!$O$2:$O$200,MATCH($A15,SONG_LEVEL_TRUTH!$A$2:$A$200,0))),"")</f>
        <v/>
      </c>
      <c r="F15">
        <f>IFERROR(IF(INDEX(SONG_LEVEL_TRUTH!$P$2:$P$200,MATCH($A15,SONG_LEVEL_TRUTH!$A$2:$A$200,0))="","",INDEX(SONG_LEVEL_TRUTH!$P$2:$P$200,MATCH($A15,SONG_LEVEL_TRUTH!$A$2:$A$200,0))),"")</f>
        <v/>
      </c>
      <c r="G15">
        <f>IFERROR(IF(INDEX(SONG_LEVEL_TRUTH!$Q$2:$Q$200,MATCH($A15,SONG_LEVEL_TRUTH!$A$2:$A$200,0))="","",INDEX(SONG_LEVEL_TRUTH!$Q$2:$Q$200,MATCH($A15,SONG_LEVEL_TRUTH!$A$2:$A$200,0))),"")</f>
        <v/>
      </c>
      <c r="H15">
        <f>IFERROR(IF(INDEX(SONG_LEVEL_TRUTH!$R$2:$R$200,MATCH($A15,SONG_LEVEL_TRUTH!$A$2:$A$200,0))="","",INDEX(SONG_LEVEL_TRUTH!$R$2:$R$200,MATCH($A15,SONG_LEVEL_TRUTH!$A$2:$A$200,0))),"")</f>
        <v/>
      </c>
      <c r="I15">
        <f>IF(OR($B15="",LEFT($B15,7)="UNKNOWN"),"GT UNKNOWN",IF(TRIM(E15)=TRIM($B15),"YES","NO"))</f>
        <v/>
      </c>
      <c r="J15">
        <f>IF(OR($B15="",LEFT($B15,7)="UNKNOWN"),"GT UNKNOWN",IF(TRIM(F15)=TRIM($B15),"YES","NO"))</f>
        <v/>
      </c>
      <c r="K15">
        <f>IF(OR($B15="",LEFT($B15,7)="UNKNOWN"),"GT UNKNOWN",IF(TRIM(G15)=TRIM($B15),"YES","NO"))</f>
        <v/>
      </c>
      <c r="L15">
        <f>IF(OR($B15="",LEFT($B15,7)="UNKNOWN"),"GT UNKNOWN",IF(TRIM(H15)=TRIM($B15),"YES","NO"))</f>
        <v/>
      </c>
      <c r="M15" t="n">
        <v>2</v>
      </c>
      <c r="N15" t="n">
        <v>2</v>
      </c>
      <c r="O15" t="inlineStr">
        <is>
          <t>MEDIUM</t>
        </is>
      </c>
      <c r="P15" t="inlineStr">
        <is>
          <t>accent period=2 beats (score 1.11, margin 0.48); triplet-vs-duple subdiv ratio 0.90; 70 beats | guitar-only: accent evidence is weak, treat as a hypothesis</t>
        </is>
      </c>
    </row>
    <row r="16">
      <c r="A16" t="inlineStr">
        <is>
          <t>TEST_015</t>
        </is>
      </c>
      <c r="B16" s="31" t="n"/>
      <c r="C16" s="31" t="inlineStr">
        <is>
          <t>UNKNOWN - awaiting metronome setting / by ear</t>
        </is>
      </c>
      <c r="D16" s="31" t="n"/>
      <c r="E16">
        <f>IFERROR(IF(INDEX(SONG_LEVEL_TRUTH!$O$2:$O$200,MATCH($A16,SONG_LEVEL_TRUTH!$A$2:$A$200,0))="","",INDEX(SONG_LEVEL_TRUTH!$O$2:$O$200,MATCH($A16,SONG_LEVEL_TRUTH!$A$2:$A$200,0))),"")</f>
        <v/>
      </c>
      <c r="F16">
        <f>IFERROR(IF(INDEX(SONG_LEVEL_TRUTH!$P$2:$P$200,MATCH($A16,SONG_LEVEL_TRUTH!$A$2:$A$200,0))="","",INDEX(SONG_LEVEL_TRUTH!$P$2:$P$200,MATCH($A16,SONG_LEVEL_TRUTH!$A$2:$A$200,0))),"")</f>
        <v/>
      </c>
      <c r="G16">
        <f>IFERROR(IF(INDEX(SONG_LEVEL_TRUTH!$Q$2:$Q$200,MATCH($A16,SONG_LEVEL_TRUTH!$A$2:$A$200,0))="","",INDEX(SONG_LEVEL_TRUTH!$Q$2:$Q$200,MATCH($A16,SONG_LEVEL_TRUTH!$A$2:$A$200,0))),"")</f>
        <v/>
      </c>
      <c r="H16">
        <f>IFERROR(IF(INDEX(SONG_LEVEL_TRUTH!$R$2:$R$200,MATCH($A16,SONG_LEVEL_TRUTH!$A$2:$A$200,0))="","",INDEX(SONG_LEVEL_TRUTH!$R$2:$R$200,MATCH($A16,SONG_LEVEL_TRUTH!$A$2:$A$200,0))),"")</f>
        <v/>
      </c>
      <c r="I16">
        <f>IF(OR($B16="",LEFT($B16,7)="UNKNOWN"),"GT UNKNOWN",IF(TRIM(E16)=TRIM($B16),"YES","NO"))</f>
        <v/>
      </c>
      <c r="J16">
        <f>IF(OR($B16="",LEFT($B16,7)="UNKNOWN"),"GT UNKNOWN",IF(TRIM(F16)=TRIM($B16),"YES","NO"))</f>
        <v/>
      </c>
      <c r="K16">
        <f>IF(OR($B16="",LEFT($B16,7)="UNKNOWN"),"GT UNKNOWN",IF(TRIM(G16)=TRIM($B16),"YES","NO"))</f>
        <v/>
      </c>
      <c r="L16">
        <f>IF(OR($B16="",LEFT($B16,7)="UNKNOWN"),"GT UNKNOWN",IF(TRIM(H16)=TRIM($B16),"YES","NO"))</f>
        <v/>
      </c>
      <c r="O16" t="inlineStr">
        <is>
          <t>LOW</t>
        </is>
      </c>
      <c r="P16" t="inlineStr">
        <is>
          <t>accent period=2 beats (score 0.57, margin 0.06); triplet-vs-duple subdiv ratio 0.68; 52 beats | guitar-only: accent evidence is weak, treat as a hypothesis</t>
        </is>
      </c>
    </row>
    <row r="17">
      <c r="A17" t="inlineStr">
        <is>
          <t>TEST_016</t>
        </is>
      </c>
      <c r="B17" s="31" t="n"/>
      <c r="C17" s="31" t="inlineStr">
        <is>
          <t>UNKNOWN - awaiting metronome setting / by ear</t>
        </is>
      </c>
      <c r="D17" s="31" t="n"/>
      <c r="E17">
        <f>IFERROR(IF(INDEX(SONG_LEVEL_TRUTH!$O$2:$O$200,MATCH($A17,SONG_LEVEL_TRUTH!$A$2:$A$200,0))="","",INDEX(SONG_LEVEL_TRUTH!$O$2:$O$200,MATCH($A17,SONG_LEVEL_TRUTH!$A$2:$A$200,0))),"")</f>
        <v/>
      </c>
      <c r="F17">
        <f>IFERROR(IF(INDEX(SONG_LEVEL_TRUTH!$P$2:$P$200,MATCH($A17,SONG_LEVEL_TRUTH!$A$2:$A$200,0))="","",INDEX(SONG_LEVEL_TRUTH!$P$2:$P$200,MATCH($A17,SONG_LEVEL_TRUTH!$A$2:$A$200,0))),"")</f>
        <v/>
      </c>
      <c r="G17">
        <f>IFERROR(IF(INDEX(SONG_LEVEL_TRUTH!$Q$2:$Q$200,MATCH($A17,SONG_LEVEL_TRUTH!$A$2:$A$200,0))="","",INDEX(SONG_LEVEL_TRUTH!$Q$2:$Q$200,MATCH($A17,SONG_LEVEL_TRUTH!$A$2:$A$200,0))),"")</f>
        <v/>
      </c>
      <c r="H17">
        <f>IFERROR(IF(INDEX(SONG_LEVEL_TRUTH!$R$2:$R$200,MATCH($A17,SONG_LEVEL_TRUTH!$A$2:$A$200,0))="","",INDEX(SONG_LEVEL_TRUTH!$R$2:$R$200,MATCH($A17,SONG_LEVEL_TRUTH!$A$2:$A$200,0))),"")</f>
        <v/>
      </c>
      <c r="I17">
        <f>IF(OR($B17="",LEFT($B17,7)="UNKNOWN"),"GT UNKNOWN",IF(TRIM(E17)=TRIM($B17),"YES","NO"))</f>
        <v/>
      </c>
      <c r="J17">
        <f>IF(OR($B17="",LEFT($B17,7)="UNKNOWN"),"GT UNKNOWN",IF(TRIM(F17)=TRIM($B17),"YES","NO"))</f>
        <v/>
      </c>
      <c r="K17">
        <f>IF(OR($B17="",LEFT($B17,7)="UNKNOWN"),"GT UNKNOWN",IF(TRIM(G17)=TRIM($B17),"YES","NO"))</f>
        <v/>
      </c>
      <c r="L17">
        <f>IF(OR($B17="",LEFT($B17,7)="UNKNOWN"),"GT UNKNOWN",IF(TRIM(H17)=TRIM($B17),"YES","NO"))</f>
        <v/>
      </c>
      <c r="M17" t="n">
        <v>4</v>
      </c>
      <c r="N17" t="n">
        <v>2</v>
      </c>
      <c r="O17" t="inlineStr">
        <is>
          <t>MEDIUM</t>
        </is>
      </c>
      <c r="P17" t="inlineStr">
        <is>
          <t>accent period=4 beats (score 1.03, margin 0.90); triplet-vs-duple subdiv ratio 0.98; 151 beats | guitar-only: accent evidence is weak, treat as a hypothesis</t>
        </is>
      </c>
    </row>
    <row r="18">
      <c r="A18" t="inlineStr">
        <is>
          <t>TEST_017</t>
        </is>
      </c>
      <c r="B18" s="31" t="n"/>
      <c r="C18" s="31" t="inlineStr">
        <is>
          <t>UNKNOWN - awaiting metronome setting / by ear</t>
        </is>
      </c>
      <c r="D18" s="31" t="n"/>
      <c r="E18">
        <f>IFERROR(IF(INDEX(SONG_LEVEL_TRUTH!$O$2:$O$200,MATCH($A18,SONG_LEVEL_TRUTH!$A$2:$A$200,0))="","",INDEX(SONG_LEVEL_TRUTH!$O$2:$O$200,MATCH($A18,SONG_LEVEL_TRUTH!$A$2:$A$200,0))),"")</f>
        <v/>
      </c>
      <c r="F18">
        <f>IFERROR(IF(INDEX(SONG_LEVEL_TRUTH!$P$2:$P$200,MATCH($A18,SONG_LEVEL_TRUTH!$A$2:$A$200,0))="","",INDEX(SONG_LEVEL_TRUTH!$P$2:$P$200,MATCH($A18,SONG_LEVEL_TRUTH!$A$2:$A$200,0))),"")</f>
        <v/>
      </c>
      <c r="G18">
        <f>IFERROR(IF(INDEX(SONG_LEVEL_TRUTH!$Q$2:$Q$200,MATCH($A18,SONG_LEVEL_TRUTH!$A$2:$A$200,0))="","",INDEX(SONG_LEVEL_TRUTH!$Q$2:$Q$200,MATCH($A18,SONG_LEVEL_TRUTH!$A$2:$A$200,0))),"")</f>
        <v/>
      </c>
      <c r="H18">
        <f>IFERROR(IF(INDEX(SONG_LEVEL_TRUTH!$R$2:$R$200,MATCH($A18,SONG_LEVEL_TRUTH!$A$2:$A$200,0))="","",INDEX(SONG_LEVEL_TRUTH!$R$2:$R$200,MATCH($A18,SONG_LEVEL_TRUTH!$A$2:$A$200,0))),"")</f>
        <v/>
      </c>
      <c r="I18">
        <f>IF(OR($B18="",LEFT($B18,7)="UNKNOWN"),"GT UNKNOWN",IF(TRIM(E18)=TRIM($B18),"YES","NO"))</f>
        <v/>
      </c>
      <c r="J18">
        <f>IF(OR($B18="",LEFT($B18,7)="UNKNOWN"),"GT UNKNOWN",IF(TRIM(F18)=TRIM($B18),"YES","NO"))</f>
        <v/>
      </c>
      <c r="K18">
        <f>IF(OR($B18="",LEFT($B18,7)="UNKNOWN"),"GT UNKNOWN",IF(TRIM(G18)=TRIM($B18),"YES","NO"))</f>
        <v/>
      </c>
      <c r="L18">
        <f>IF(OR($B18="",LEFT($B18,7)="UNKNOWN"),"GT UNKNOWN",IF(TRIM(H18)=TRIM($B18),"YES","NO"))</f>
        <v/>
      </c>
      <c r="M18" t="n">
        <v>3</v>
      </c>
      <c r="N18" t="n">
        <v>2</v>
      </c>
      <c r="O18" t="inlineStr">
        <is>
          <t>LOW</t>
        </is>
      </c>
      <c r="P18" t="inlineStr">
        <is>
          <t>accent period=3 beats (score 0.44, margin 0.22); triplet-vs-duple subdiv ratio 1.00; 240 beats | guitar-only: accent evidence is weak, treat as a hypothesis</t>
        </is>
      </c>
    </row>
    <row r="19">
      <c r="A19" t="inlineStr">
        <is>
          <t>TEST_018</t>
        </is>
      </c>
      <c r="B19" s="31" t="n"/>
      <c r="C19" s="31" t="inlineStr">
        <is>
          <t>UNKNOWN - awaiting metronome setting / by ear</t>
        </is>
      </c>
      <c r="D19" s="31" t="n"/>
      <c r="E19">
        <f>IFERROR(IF(INDEX(SONG_LEVEL_TRUTH!$O$2:$O$200,MATCH($A19,SONG_LEVEL_TRUTH!$A$2:$A$200,0))="","",INDEX(SONG_LEVEL_TRUTH!$O$2:$O$200,MATCH($A19,SONG_LEVEL_TRUTH!$A$2:$A$200,0))),"")</f>
        <v/>
      </c>
      <c r="F19">
        <f>IFERROR(IF(INDEX(SONG_LEVEL_TRUTH!$P$2:$P$200,MATCH($A19,SONG_LEVEL_TRUTH!$A$2:$A$200,0))="","",INDEX(SONG_LEVEL_TRUTH!$P$2:$P$200,MATCH($A19,SONG_LEVEL_TRUTH!$A$2:$A$200,0))),"")</f>
        <v/>
      </c>
      <c r="G19">
        <f>IFERROR(IF(INDEX(SONG_LEVEL_TRUTH!$Q$2:$Q$200,MATCH($A19,SONG_LEVEL_TRUTH!$A$2:$A$200,0))="","",INDEX(SONG_LEVEL_TRUTH!$Q$2:$Q$200,MATCH($A19,SONG_LEVEL_TRUTH!$A$2:$A$200,0))),"")</f>
        <v/>
      </c>
      <c r="H19">
        <f>IFERROR(IF(INDEX(SONG_LEVEL_TRUTH!$R$2:$R$200,MATCH($A19,SONG_LEVEL_TRUTH!$A$2:$A$200,0))="","",INDEX(SONG_LEVEL_TRUTH!$R$2:$R$200,MATCH($A19,SONG_LEVEL_TRUTH!$A$2:$A$200,0))),"")</f>
        <v/>
      </c>
      <c r="I19">
        <f>IF(OR($B19="",LEFT($B19,7)="UNKNOWN"),"GT UNKNOWN",IF(TRIM(E19)=TRIM($B19),"YES","NO"))</f>
        <v/>
      </c>
      <c r="J19">
        <f>IF(OR($B19="",LEFT($B19,7)="UNKNOWN"),"GT UNKNOWN",IF(TRIM(F19)=TRIM($B19),"YES","NO"))</f>
        <v/>
      </c>
      <c r="K19">
        <f>IF(OR($B19="",LEFT($B19,7)="UNKNOWN"),"GT UNKNOWN",IF(TRIM(G19)=TRIM($B19),"YES","NO"))</f>
        <v/>
      </c>
      <c r="L19">
        <f>IF(OR($B19="",LEFT($B19,7)="UNKNOWN"),"GT UNKNOWN",IF(TRIM(H19)=TRIM($B19),"YES","NO"))</f>
        <v/>
      </c>
      <c r="M19" t="n">
        <v>4</v>
      </c>
      <c r="N19" t="n">
        <v>2</v>
      </c>
      <c r="O19" t="inlineStr">
        <is>
          <t>LOW</t>
        </is>
      </c>
      <c r="P19" t="inlineStr">
        <is>
          <t>accent period=4 beats (score 0.41, margin 0.23); triplet-vs-duple subdiv ratio 0.84; 146 beats | guitar-only: accent evidence is weak, treat as a hypothesis</t>
        </is>
      </c>
    </row>
    <row r="20">
      <c r="A20" t="inlineStr">
        <is>
          <t>TEST_019</t>
        </is>
      </c>
      <c r="B20" s="31" t="n"/>
      <c r="C20" s="31" t="inlineStr">
        <is>
          <t>UNKNOWN - awaiting metronome setting / by ear</t>
        </is>
      </c>
      <c r="D20" s="31" t="n"/>
      <c r="E20">
        <f>IFERROR(IF(INDEX(SONG_LEVEL_TRUTH!$O$2:$O$200,MATCH($A20,SONG_LEVEL_TRUTH!$A$2:$A$200,0))="","",INDEX(SONG_LEVEL_TRUTH!$O$2:$O$200,MATCH($A20,SONG_LEVEL_TRUTH!$A$2:$A$200,0))),"")</f>
        <v/>
      </c>
      <c r="F20">
        <f>IFERROR(IF(INDEX(SONG_LEVEL_TRUTH!$P$2:$P$200,MATCH($A20,SONG_LEVEL_TRUTH!$A$2:$A$200,0))="","",INDEX(SONG_LEVEL_TRUTH!$P$2:$P$200,MATCH($A20,SONG_LEVEL_TRUTH!$A$2:$A$200,0))),"")</f>
        <v/>
      </c>
      <c r="G20">
        <f>IFERROR(IF(INDEX(SONG_LEVEL_TRUTH!$Q$2:$Q$200,MATCH($A20,SONG_LEVEL_TRUTH!$A$2:$A$200,0))="","",INDEX(SONG_LEVEL_TRUTH!$Q$2:$Q$200,MATCH($A20,SONG_LEVEL_TRUTH!$A$2:$A$200,0))),"")</f>
        <v/>
      </c>
      <c r="H20">
        <f>IFERROR(IF(INDEX(SONG_LEVEL_TRUTH!$R$2:$R$200,MATCH($A20,SONG_LEVEL_TRUTH!$A$2:$A$200,0))="","",INDEX(SONG_LEVEL_TRUTH!$R$2:$R$200,MATCH($A20,SONG_LEVEL_TRUTH!$A$2:$A$200,0))),"")</f>
        <v/>
      </c>
      <c r="I20">
        <f>IF(OR($B20="",LEFT($B20,7)="UNKNOWN"),"GT UNKNOWN",IF(TRIM(E20)=TRIM($B20),"YES","NO"))</f>
        <v/>
      </c>
      <c r="J20">
        <f>IF(OR($B20="",LEFT($B20,7)="UNKNOWN"),"GT UNKNOWN",IF(TRIM(F20)=TRIM($B20),"YES","NO"))</f>
        <v/>
      </c>
      <c r="K20">
        <f>IF(OR($B20="",LEFT($B20,7)="UNKNOWN"),"GT UNKNOWN",IF(TRIM(G20)=TRIM($B20),"YES","NO"))</f>
        <v/>
      </c>
      <c r="L20">
        <f>IF(OR($B20="",LEFT($B20,7)="UNKNOWN"),"GT UNKNOWN",IF(TRIM(H20)=TRIM($B20),"YES","NO"))</f>
        <v/>
      </c>
      <c r="M20" t="n">
        <v>3</v>
      </c>
      <c r="N20" t="n">
        <v>3</v>
      </c>
      <c r="O20" t="inlineStr">
        <is>
          <t>LOW</t>
        </is>
      </c>
      <c r="P20" t="inlineStr">
        <is>
          <t>accent period=3 beats (score 0.53, margin 0.19); triplet-vs-duple subdiv ratio 1.38; 165 beats | guitar-only: accent evidence is weak, treat as a hypothesis</t>
        </is>
      </c>
    </row>
    <row r="21">
      <c r="A21" t="inlineStr">
        <is>
          <t>TEST_020</t>
        </is>
      </c>
      <c r="B21" s="31" t="n"/>
      <c r="C21" s="31" t="inlineStr">
        <is>
          <t>UNKNOWN - awaiting metronome setting / by ear</t>
        </is>
      </c>
      <c r="D21" s="31" t="n"/>
      <c r="E21">
        <f>IFERROR(IF(INDEX(SONG_LEVEL_TRUTH!$O$2:$O$200,MATCH($A21,SONG_LEVEL_TRUTH!$A$2:$A$200,0))="","",INDEX(SONG_LEVEL_TRUTH!$O$2:$O$200,MATCH($A21,SONG_LEVEL_TRUTH!$A$2:$A$200,0))),"")</f>
        <v/>
      </c>
      <c r="F21">
        <f>IFERROR(IF(INDEX(SONG_LEVEL_TRUTH!$P$2:$P$200,MATCH($A21,SONG_LEVEL_TRUTH!$A$2:$A$200,0))="","",INDEX(SONG_LEVEL_TRUTH!$P$2:$P$200,MATCH($A21,SONG_LEVEL_TRUTH!$A$2:$A$200,0))),"")</f>
        <v/>
      </c>
      <c r="G21">
        <f>IFERROR(IF(INDEX(SONG_LEVEL_TRUTH!$Q$2:$Q$200,MATCH($A21,SONG_LEVEL_TRUTH!$A$2:$A$200,0))="","",INDEX(SONG_LEVEL_TRUTH!$Q$2:$Q$200,MATCH($A21,SONG_LEVEL_TRUTH!$A$2:$A$200,0))),"")</f>
        <v/>
      </c>
      <c r="H21">
        <f>IFERROR(IF(INDEX(SONG_LEVEL_TRUTH!$R$2:$R$200,MATCH($A21,SONG_LEVEL_TRUTH!$A$2:$A$200,0))="","",INDEX(SONG_LEVEL_TRUTH!$R$2:$R$200,MATCH($A21,SONG_LEVEL_TRUTH!$A$2:$A$200,0))),"")</f>
        <v/>
      </c>
      <c r="I21">
        <f>IF(OR($B21="",LEFT($B21,7)="UNKNOWN"),"GT UNKNOWN",IF(TRIM(E21)=TRIM($B21),"YES","NO"))</f>
        <v/>
      </c>
      <c r="J21">
        <f>IF(OR($B21="",LEFT($B21,7)="UNKNOWN"),"GT UNKNOWN",IF(TRIM(F21)=TRIM($B21),"YES","NO"))</f>
        <v/>
      </c>
      <c r="K21">
        <f>IF(OR($B21="",LEFT($B21,7)="UNKNOWN"),"GT UNKNOWN",IF(TRIM(G21)=TRIM($B21),"YES","NO"))</f>
        <v/>
      </c>
      <c r="L21">
        <f>IF(OR($B21="",LEFT($B21,7)="UNKNOWN"),"GT UNKNOWN",IF(TRIM(H21)=TRIM($B21),"YES","NO"))</f>
        <v/>
      </c>
      <c r="O21" t="inlineStr">
        <is>
          <t>LOW</t>
        </is>
      </c>
      <c r="P21" t="inlineStr">
        <is>
          <t>accent period=4 beats (score 0.28, margin 0.04); triplet-vs-duple subdiv ratio 1.05; 182 beats | guitar-only: accent evidence is weak, treat as a hypothesis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D109" sqref="D109"/>
    </sheetView>
  </sheetViews>
  <sheetFormatPr baseColWidth="8" defaultRowHeight="14.4"/>
  <cols>
    <col width="10.77734375" customWidth="1" min="1" max="1"/>
    <col width="18.109375" customWidth="1" min="2" max="2"/>
    <col width="13.33203125" customWidth="1" min="3" max="3"/>
    <col width="16.88671875" customWidth="1" min="4" max="5"/>
    <col width="19" customWidth="1" min="6" max="6"/>
    <col width="25.6640625" customWidth="1" min="7" max="7"/>
    <col width="19.109375" customWidth="1" min="8" max="8"/>
    <col width="65.77734375" customWidth="1" min="9" max="9"/>
  </cols>
  <sheetData>
    <row r="1" ht="34.05" customHeight="1">
      <c r="A1" s="15" t="inlineStr">
        <is>
          <t>Test ID</t>
        </is>
      </c>
      <c r="B1" s="15" t="inlineStr">
        <is>
          <t>Source</t>
        </is>
      </c>
      <c r="C1" s="15" t="inlineStr">
        <is>
          <t>Segment Number</t>
        </is>
      </c>
      <c r="D1" s="15" t="inlineStr">
        <is>
          <t>Start Time (seconds)</t>
        </is>
      </c>
      <c r="E1" s="15" t="inlineStr">
        <is>
          <t>End Time (seconds)</t>
        </is>
      </c>
      <c r="F1" s="15" t="inlineStr">
        <is>
          <t>Raw Chord</t>
        </is>
      </c>
      <c r="G1" s="15" t="inlineStr">
        <is>
          <t>Normalized Chord</t>
        </is>
      </c>
      <c r="H1" s="15" t="inlineStr">
        <is>
          <t>Confidence</t>
        </is>
      </c>
      <c r="I1" s="15" t="inlineStr">
        <is>
          <t>Notes</t>
        </is>
      </c>
    </row>
    <row r="2">
      <c r="A2" s="25" t="inlineStr">
        <is>
          <t>TEST_001</t>
        </is>
      </c>
      <c r="B2" s="25" t="inlineStr">
        <is>
          <t>WILSIFY_AI</t>
        </is>
      </c>
      <c r="C2" s="25" t="n">
        <v>1</v>
      </c>
      <c r="D2" s="26" t="n"/>
      <c r="E2" s="26" t="n"/>
      <c r="F2" s="25" t="inlineStr">
        <is>
          <t>B</t>
        </is>
      </c>
      <c r="G2" s="25" t="n"/>
      <c r="H2" s="25" t="n"/>
      <c r="I2" s="25" t="inlineStr">
        <is>
          <t>Old 'Wilsify said' output: order only, no timestamps (list is the first chords only).</t>
        </is>
      </c>
    </row>
    <row r="3">
      <c r="A3" s="25" t="inlineStr">
        <is>
          <t>TEST_001</t>
        </is>
      </c>
      <c r="B3" s="25" t="inlineStr">
        <is>
          <t>WILSIFY_AI</t>
        </is>
      </c>
      <c r="C3" s="25" t="n">
        <v>2</v>
      </c>
      <c r="D3" s="26" t="n"/>
      <c r="E3" s="26" t="n"/>
      <c r="F3" s="25" t="inlineStr">
        <is>
          <t>G#m</t>
        </is>
      </c>
      <c r="G3" s="25" t="n"/>
      <c r="H3" s="25" t="n"/>
      <c r="I3" s="25" t="n"/>
    </row>
    <row r="4">
      <c r="A4" s="25" t="inlineStr">
        <is>
          <t>TEST_001</t>
        </is>
      </c>
      <c r="B4" s="25" t="inlineStr">
        <is>
          <t>WILSIFY_AI</t>
        </is>
      </c>
      <c r="C4" s="25" t="n">
        <v>3</v>
      </c>
      <c r="D4" s="26" t="n"/>
      <c r="E4" s="26" t="n"/>
      <c r="F4" s="25" t="inlineStr">
        <is>
          <t>B</t>
        </is>
      </c>
      <c r="G4" s="25" t="n"/>
      <c r="H4" s="25" t="n"/>
      <c r="I4" s="25" t="n"/>
    </row>
    <row r="5">
      <c r="A5" s="25" t="inlineStr">
        <is>
          <t>TEST_001</t>
        </is>
      </c>
      <c r="B5" s="25" t="inlineStr">
        <is>
          <t>WILSIFY_AI</t>
        </is>
      </c>
      <c r="C5" s="25" t="n">
        <v>4</v>
      </c>
      <c r="D5" s="26" t="n"/>
      <c r="E5" s="26" t="n"/>
      <c r="F5" s="25" t="inlineStr">
        <is>
          <t>C#7</t>
        </is>
      </c>
      <c r="G5" s="25" t="n"/>
      <c r="H5" s="25" t="n"/>
      <c r="I5" s="25" t="n"/>
    </row>
    <row r="6">
      <c r="A6" s="25" t="inlineStr">
        <is>
          <t>TEST_001</t>
        </is>
      </c>
      <c r="B6" s="25" t="inlineStr">
        <is>
          <t>WILSIFY_AI</t>
        </is>
      </c>
      <c r="C6" s="25" t="n">
        <v>5</v>
      </c>
      <c r="D6" s="26" t="n"/>
      <c r="E6" s="26" t="n"/>
      <c r="F6" s="25" t="inlineStr">
        <is>
          <t>F#</t>
        </is>
      </c>
      <c r="G6" s="25" t="n"/>
      <c r="H6" s="25" t="n"/>
      <c r="I6" s="25" t="n"/>
    </row>
    <row r="7">
      <c r="A7" s="25" t="inlineStr">
        <is>
          <t>TEST_001</t>
        </is>
      </c>
      <c r="B7" s="25" t="inlineStr">
        <is>
          <t>WILSIFY_AI</t>
        </is>
      </c>
      <c r="C7" s="25" t="n">
        <v>6</v>
      </c>
      <c r="D7" s="26" t="n"/>
      <c r="E7" s="26" t="n"/>
      <c r="F7" s="25" t="inlineStr">
        <is>
          <t>C#7</t>
        </is>
      </c>
      <c r="G7" s="25" t="n"/>
      <c r="H7" s="25" t="n"/>
      <c r="I7" s="25" t="n"/>
    </row>
    <row r="8">
      <c r="A8" s="25" t="inlineStr">
        <is>
          <t>TEST_001</t>
        </is>
      </c>
      <c r="B8" s="25" t="inlineStr">
        <is>
          <t>WILSIFY_AI</t>
        </is>
      </c>
      <c r="C8" s="25" t="n">
        <v>7</v>
      </c>
      <c r="D8" s="26" t="n"/>
      <c r="E8" s="26" t="n"/>
      <c r="F8" s="25" t="inlineStr">
        <is>
          <t>B</t>
        </is>
      </c>
      <c r="G8" s="25" t="n"/>
      <c r="H8" s="25" t="n"/>
      <c r="I8" s="25" t="n"/>
    </row>
    <row r="9">
      <c r="A9" s="25" t="inlineStr">
        <is>
          <t>TEST_001</t>
        </is>
      </c>
      <c r="B9" s="25" t="inlineStr">
        <is>
          <t>WILSIFY_AI</t>
        </is>
      </c>
      <c r="C9" s="25" t="n">
        <v>8</v>
      </c>
      <c r="D9" s="26" t="n"/>
      <c r="E9" s="26" t="n"/>
      <c r="F9" s="25" t="inlineStr">
        <is>
          <t>F#</t>
        </is>
      </c>
      <c r="G9" s="25" t="n"/>
      <c r="H9" s="25" t="n"/>
      <c r="I9" s="25" t="n"/>
    </row>
    <row r="10">
      <c r="A10" s="25" t="inlineStr">
        <is>
          <t>TEST_001</t>
        </is>
      </c>
      <c r="B10" s="25" t="inlineStr">
        <is>
          <t>WILSIFY_AI</t>
        </is>
      </c>
      <c r="C10" s="25" t="n">
        <v>9</v>
      </c>
      <c r="D10" s="26" t="n"/>
      <c r="E10" s="26" t="n"/>
      <c r="F10" s="25" t="inlineStr">
        <is>
          <t>G#m</t>
        </is>
      </c>
      <c r="G10" s="25" t="n"/>
      <c r="H10" s="25" t="n"/>
      <c r="I10" s="25" t="n"/>
    </row>
    <row r="11">
      <c r="A11" s="25" t="inlineStr">
        <is>
          <t>TEST_001</t>
        </is>
      </c>
      <c r="B11" s="25" t="inlineStr">
        <is>
          <t>WILSIFY_AI</t>
        </is>
      </c>
      <c r="C11" s="25" t="n">
        <v>10</v>
      </c>
      <c r="D11" s="26" t="n"/>
      <c r="E11" s="26" t="n"/>
      <c r="F11" s="25" t="inlineStr">
        <is>
          <t>C#7</t>
        </is>
      </c>
      <c r="G11" s="25" t="n"/>
      <c r="H11" s="25" t="n"/>
      <c r="I11" s="25" t="n"/>
    </row>
    <row r="12">
      <c r="A12" s="25" t="inlineStr">
        <is>
          <t>TEST_001</t>
        </is>
      </c>
      <c r="B12" s="25" t="inlineStr">
        <is>
          <t>WILSIFY_AI</t>
        </is>
      </c>
      <c r="C12" s="25" t="n">
        <v>11</v>
      </c>
      <c r="D12" s="26" t="n"/>
      <c r="E12" s="26" t="n"/>
      <c r="F12" s="25" t="inlineStr">
        <is>
          <t>F#</t>
        </is>
      </c>
      <c r="G12" s="25" t="n"/>
      <c r="H12" s="25" t="n"/>
      <c r="I12" s="25" t="n"/>
    </row>
    <row r="13">
      <c r="A13" s="25" t="inlineStr">
        <is>
          <t>TEST_001</t>
        </is>
      </c>
      <c r="B13" s="25" t="inlineStr">
        <is>
          <t>WILSIFY_AI</t>
        </is>
      </c>
      <c r="C13" s="25" t="n">
        <v>12</v>
      </c>
      <c r="D13" s="26" t="n"/>
      <c r="E13" s="26" t="n"/>
      <c r="F13" s="25" t="inlineStr">
        <is>
          <t>A#m</t>
        </is>
      </c>
      <c r="G13" s="25" t="n"/>
      <c r="H13" s="25" t="n"/>
      <c r="I13" s="25" t="n"/>
    </row>
    <row r="14">
      <c r="A14" s="25" t="inlineStr">
        <is>
          <t>TEST_002</t>
        </is>
      </c>
      <c r="B14" s="25" t="inlineStr">
        <is>
          <t>WILSIFY_AI</t>
        </is>
      </c>
      <c r="C14" s="25" t="n">
        <v>1</v>
      </c>
      <c r="D14" s="26" t="n"/>
      <c r="E14" s="26" t="n"/>
      <c r="F14" s="25" t="inlineStr">
        <is>
          <t>G</t>
        </is>
      </c>
      <c r="G14" s="25" t="n"/>
      <c r="H14" s="25" t="n"/>
      <c r="I14" s="25" t="inlineStr">
        <is>
          <t>Old 'Wilsify said' output: order only, no timestamps (list is the first chords only).</t>
        </is>
      </c>
    </row>
    <row r="15">
      <c r="A15" s="25" t="inlineStr">
        <is>
          <t>TEST_002</t>
        </is>
      </c>
      <c r="B15" s="25" t="inlineStr">
        <is>
          <t>WILSIFY_AI</t>
        </is>
      </c>
      <c r="C15" s="25" t="n">
        <v>2</v>
      </c>
      <c r="D15" s="26" t="n"/>
      <c r="E15" s="26" t="n"/>
      <c r="F15" s="25" t="inlineStr">
        <is>
          <t>Bm7</t>
        </is>
      </c>
      <c r="G15" s="25" t="n"/>
      <c r="H15" s="25" t="n"/>
      <c r="I15" s="25" t="n"/>
    </row>
    <row r="16">
      <c r="A16" s="25" t="inlineStr">
        <is>
          <t>TEST_002</t>
        </is>
      </c>
      <c r="B16" s="25" t="inlineStr">
        <is>
          <t>WILSIFY_AI</t>
        </is>
      </c>
      <c r="C16" s="25" t="n">
        <v>3</v>
      </c>
      <c r="D16" s="26" t="n"/>
      <c r="E16" s="26" t="n"/>
      <c r="F16" s="25" t="inlineStr">
        <is>
          <t>G</t>
        </is>
      </c>
      <c r="G16" s="25" t="n"/>
      <c r="H16" s="25" t="n"/>
      <c r="I16" s="25" t="n"/>
    </row>
    <row r="17">
      <c r="A17" s="25" t="inlineStr">
        <is>
          <t>TEST_002</t>
        </is>
      </c>
      <c r="B17" s="25" t="inlineStr">
        <is>
          <t>WILSIFY_AI</t>
        </is>
      </c>
      <c r="C17" s="25" t="n">
        <v>4</v>
      </c>
      <c r="D17" s="26" t="n"/>
      <c r="E17" s="26" t="n"/>
      <c r="F17" s="25" t="inlineStr">
        <is>
          <t>A</t>
        </is>
      </c>
      <c r="G17" s="25" t="n"/>
      <c r="H17" s="25" t="n"/>
      <c r="I17" s="25" t="n"/>
    </row>
    <row r="18">
      <c r="A18" s="25" t="inlineStr">
        <is>
          <t>TEST_002</t>
        </is>
      </c>
      <c r="B18" s="25" t="inlineStr">
        <is>
          <t>WILSIFY_AI</t>
        </is>
      </c>
      <c r="C18" s="25" t="n">
        <v>5</v>
      </c>
      <c r="D18" s="26" t="n"/>
      <c r="E18" s="26" t="n"/>
      <c r="F18" s="25" t="inlineStr">
        <is>
          <t>G</t>
        </is>
      </c>
      <c r="G18" s="25" t="n"/>
      <c r="H18" s="25" t="n"/>
      <c r="I18" s="25" t="n"/>
    </row>
    <row r="19">
      <c r="A19" s="25" t="inlineStr">
        <is>
          <t>TEST_002</t>
        </is>
      </c>
      <c r="B19" s="25" t="inlineStr">
        <is>
          <t>WILSIFY_AI</t>
        </is>
      </c>
      <c r="C19" s="25" t="n">
        <v>6</v>
      </c>
      <c r="D19" s="26" t="n"/>
      <c r="E19" s="26" t="n"/>
      <c r="F19" s="25" t="inlineStr">
        <is>
          <t>D</t>
        </is>
      </c>
      <c r="G19" s="25" t="n"/>
      <c r="H19" s="25" t="n"/>
      <c r="I19" s="25" t="n"/>
    </row>
    <row r="20">
      <c r="A20" s="25" t="inlineStr">
        <is>
          <t>TEST_002</t>
        </is>
      </c>
      <c r="B20" s="25" t="inlineStr">
        <is>
          <t>WILSIFY_AI</t>
        </is>
      </c>
      <c r="C20" s="25" t="n">
        <v>7</v>
      </c>
      <c r="D20" s="26" t="n"/>
      <c r="E20" s="26" t="n"/>
      <c r="F20" s="25" t="inlineStr">
        <is>
          <t>G</t>
        </is>
      </c>
      <c r="G20" s="25" t="n"/>
      <c r="H20" s="25" t="n"/>
      <c r="I20" s="25" t="n"/>
    </row>
    <row r="21">
      <c r="A21" s="25" t="inlineStr">
        <is>
          <t>TEST_002</t>
        </is>
      </c>
      <c r="B21" s="25" t="inlineStr">
        <is>
          <t>WILSIFY_AI</t>
        </is>
      </c>
      <c r="C21" s="25" t="n">
        <v>8</v>
      </c>
      <c r="D21" s="26" t="n"/>
      <c r="E21" s="26" t="n"/>
      <c r="F21" s="25" t="inlineStr">
        <is>
          <t>Bm</t>
        </is>
      </c>
      <c r="G21" s="25" t="n"/>
      <c r="H21" s="25" t="n"/>
      <c r="I21" s="25" t="n"/>
    </row>
    <row r="22">
      <c r="A22" s="25" t="inlineStr">
        <is>
          <t>TEST_002</t>
        </is>
      </c>
      <c r="B22" s="25" t="inlineStr">
        <is>
          <t>WILSIFY_AI</t>
        </is>
      </c>
      <c r="C22" s="25" t="n">
        <v>9</v>
      </c>
      <c r="D22" s="26" t="n"/>
      <c r="E22" s="26" t="n"/>
      <c r="F22" s="25" t="inlineStr">
        <is>
          <t>F#m7</t>
        </is>
      </c>
      <c r="G22" s="25" t="n"/>
      <c r="H22" s="25" t="n"/>
      <c r="I22" s="25" t="n"/>
    </row>
    <row r="23">
      <c r="A23" s="25" t="inlineStr">
        <is>
          <t>TEST_002</t>
        </is>
      </c>
      <c r="B23" s="25" t="inlineStr">
        <is>
          <t>WILSIFY_AI</t>
        </is>
      </c>
      <c r="C23" s="25" t="n">
        <v>10</v>
      </c>
      <c r="D23" s="26" t="n"/>
      <c r="E23" s="26" t="n"/>
      <c r="F23" s="25" t="inlineStr">
        <is>
          <t>Em</t>
        </is>
      </c>
      <c r="G23" s="25" t="n"/>
      <c r="H23" s="25" t="n"/>
      <c r="I23" s="25" t="n"/>
    </row>
    <row r="24">
      <c r="A24" s="25" t="inlineStr">
        <is>
          <t>TEST_002</t>
        </is>
      </c>
      <c r="B24" s="25" t="inlineStr">
        <is>
          <t>WILSIFY_AI</t>
        </is>
      </c>
      <c r="C24" s="25" t="n">
        <v>11</v>
      </c>
      <c r="D24" s="26" t="n"/>
      <c r="E24" s="26" t="n"/>
      <c r="F24" s="25" t="inlineStr">
        <is>
          <t>G</t>
        </is>
      </c>
      <c r="G24" s="25" t="n"/>
      <c r="H24" s="25" t="n"/>
      <c r="I24" s="25" t="n"/>
    </row>
    <row r="25">
      <c r="A25" s="25" t="inlineStr">
        <is>
          <t>TEST_002</t>
        </is>
      </c>
      <c r="B25" s="25" t="inlineStr">
        <is>
          <t>WILSIFY_AI</t>
        </is>
      </c>
      <c r="C25" s="25" t="n">
        <v>12</v>
      </c>
      <c r="D25" s="26" t="n"/>
      <c r="E25" s="26" t="n"/>
      <c r="F25" s="25" t="inlineStr">
        <is>
          <t>A</t>
        </is>
      </c>
      <c r="G25" s="25" t="n"/>
      <c r="H25" s="25" t="n"/>
      <c r="I25" s="25" t="n"/>
    </row>
    <row r="26">
      <c r="A26" s="25" t="inlineStr">
        <is>
          <t>TEST_003</t>
        </is>
      </c>
      <c r="B26" s="25" t="inlineStr">
        <is>
          <t>WILSIFY_AI</t>
        </is>
      </c>
      <c r="C26" s="25" t="n">
        <v>1</v>
      </c>
      <c r="D26" s="26" t="n"/>
      <c r="E26" s="26" t="n"/>
      <c r="F26" s="25" t="inlineStr">
        <is>
          <t>F</t>
        </is>
      </c>
      <c r="G26" s="25" t="n"/>
      <c r="H26" s="25" t="n"/>
      <c r="I26" s="25" t="inlineStr">
        <is>
          <t>Old 'Wilsify said' output: order only, no timestamps (list is the first chords only).</t>
        </is>
      </c>
    </row>
    <row r="27">
      <c r="A27" s="25" t="inlineStr">
        <is>
          <t>TEST_003</t>
        </is>
      </c>
      <c r="B27" s="25" t="inlineStr">
        <is>
          <t>WILSIFY_AI</t>
        </is>
      </c>
      <c r="C27" s="25" t="n">
        <v>2</v>
      </c>
      <c r="D27" s="26" t="n"/>
      <c r="E27" s="26" t="n"/>
      <c r="F27" s="25" t="inlineStr">
        <is>
          <t>F7</t>
        </is>
      </c>
      <c r="G27" s="25" t="n"/>
      <c r="H27" s="25" t="n"/>
      <c r="I27" s="25" t="n"/>
    </row>
    <row r="28">
      <c r="A28" s="25" t="inlineStr">
        <is>
          <t>TEST_003</t>
        </is>
      </c>
      <c r="B28" s="25" t="inlineStr">
        <is>
          <t>WILSIFY_AI</t>
        </is>
      </c>
      <c r="C28" s="25" t="n">
        <v>3</v>
      </c>
      <c r="D28" s="26" t="n"/>
      <c r="E28" s="26" t="n"/>
      <c r="F28" s="25" t="inlineStr">
        <is>
          <t>D#</t>
        </is>
      </c>
      <c r="G28" s="25" t="n"/>
      <c r="H28" s="25" t="n"/>
      <c r="I28" s="25" t="n"/>
    </row>
    <row r="29">
      <c r="A29" s="25" t="inlineStr">
        <is>
          <t>TEST_003</t>
        </is>
      </c>
      <c r="B29" s="25" t="inlineStr">
        <is>
          <t>WILSIFY_AI</t>
        </is>
      </c>
      <c r="C29" s="25" t="n">
        <v>4</v>
      </c>
      <c r="D29" s="26" t="n"/>
      <c r="E29" s="26" t="n"/>
      <c r="F29" s="25" t="inlineStr">
        <is>
          <t>Gm7</t>
        </is>
      </c>
      <c r="G29" s="25" t="n"/>
      <c r="H29" s="25" t="n"/>
      <c r="I29" s="25" t="n"/>
    </row>
    <row r="30">
      <c r="A30" s="25" t="inlineStr">
        <is>
          <t>TEST_003</t>
        </is>
      </c>
      <c r="B30" s="25" t="inlineStr">
        <is>
          <t>WILSIFY_AI</t>
        </is>
      </c>
      <c r="C30" s="25" t="n">
        <v>5</v>
      </c>
      <c r="D30" s="26" t="n"/>
      <c r="E30" s="26" t="n"/>
      <c r="F30" s="25" t="inlineStr">
        <is>
          <t>A#</t>
        </is>
      </c>
      <c r="G30" s="25" t="n"/>
      <c r="H30" s="25" t="n"/>
      <c r="I30" s="25" t="n"/>
    </row>
    <row r="31">
      <c r="A31" s="25" t="inlineStr">
        <is>
          <t>TEST_003</t>
        </is>
      </c>
      <c r="B31" s="25" t="inlineStr">
        <is>
          <t>WILSIFY_AI</t>
        </is>
      </c>
      <c r="C31" s="25" t="n">
        <v>6</v>
      </c>
      <c r="D31" s="26" t="n"/>
      <c r="E31" s="26" t="n"/>
      <c r="F31" s="25" t="inlineStr">
        <is>
          <t>Dm</t>
        </is>
      </c>
      <c r="G31" s="25" t="n"/>
      <c r="H31" s="25" t="n"/>
      <c r="I31" s="25" t="n"/>
    </row>
    <row r="32">
      <c r="A32" s="25" t="inlineStr">
        <is>
          <t>TEST_003</t>
        </is>
      </c>
      <c r="B32" s="25" t="inlineStr">
        <is>
          <t>WILSIFY_AI</t>
        </is>
      </c>
      <c r="C32" s="25" t="n">
        <v>7</v>
      </c>
      <c r="D32" s="26" t="n"/>
      <c r="E32" s="26" t="n"/>
      <c r="F32" s="25" t="inlineStr">
        <is>
          <t>Gm</t>
        </is>
      </c>
      <c r="G32" s="25" t="n"/>
      <c r="H32" s="25" t="n"/>
      <c r="I32" s="25" t="n"/>
    </row>
    <row r="33">
      <c r="A33" s="25" t="inlineStr">
        <is>
          <t>TEST_003</t>
        </is>
      </c>
      <c r="B33" s="25" t="inlineStr">
        <is>
          <t>WILSIFY_AI</t>
        </is>
      </c>
      <c r="C33" s="25" t="n">
        <v>8</v>
      </c>
      <c r="D33" s="26" t="n"/>
      <c r="E33" s="26" t="n"/>
      <c r="F33" s="25" t="inlineStr">
        <is>
          <t>D#</t>
        </is>
      </c>
      <c r="G33" s="25" t="n"/>
      <c r="H33" s="25" t="n"/>
      <c r="I33" s="25" t="n"/>
    </row>
    <row r="34">
      <c r="A34" s="25" t="inlineStr">
        <is>
          <t>TEST_003</t>
        </is>
      </c>
      <c r="B34" s="25" t="inlineStr">
        <is>
          <t>WILSIFY_AI</t>
        </is>
      </c>
      <c r="C34" s="25" t="n">
        <v>9</v>
      </c>
      <c r="D34" s="26" t="n"/>
      <c r="E34" s="26" t="n"/>
      <c r="F34" s="25" t="inlineStr">
        <is>
          <t>Gm7</t>
        </is>
      </c>
      <c r="G34" s="25" t="n"/>
      <c r="H34" s="25" t="n"/>
      <c r="I34" s="25" t="n"/>
    </row>
    <row r="35">
      <c r="A35" s="25" t="inlineStr">
        <is>
          <t>TEST_003</t>
        </is>
      </c>
      <c r="B35" s="25" t="inlineStr">
        <is>
          <t>WILSIFY_AI</t>
        </is>
      </c>
      <c r="C35" s="25" t="n">
        <v>10</v>
      </c>
      <c r="D35" s="26" t="n"/>
      <c r="E35" s="26" t="n"/>
      <c r="F35" s="25" t="inlineStr">
        <is>
          <t>D#</t>
        </is>
      </c>
      <c r="G35" s="25" t="n"/>
      <c r="H35" s="25" t="n"/>
      <c r="I35" s="25" t="n"/>
    </row>
    <row r="36">
      <c r="A36" s="25" t="inlineStr">
        <is>
          <t>TEST_003</t>
        </is>
      </c>
      <c r="B36" s="25" t="inlineStr">
        <is>
          <t>WILSIFY_AI</t>
        </is>
      </c>
      <c r="C36" s="25" t="n">
        <v>11</v>
      </c>
      <c r="D36" s="26" t="n"/>
      <c r="E36" s="26" t="n"/>
      <c r="F36" s="25" t="inlineStr">
        <is>
          <t>A#</t>
        </is>
      </c>
      <c r="G36" s="25" t="n"/>
      <c r="H36" s="25" t="n"/>
      <c r="I36" s="25" t="n"/>
    </row>
    <row r="37">
      <c r="A37" s="25" t="inlineStr">
        <is>
          <t>TEST_003</t>
        </is>
      </c>
      <c r="B37" s="25" t="inlineStr">
        <is>
          <t>WILSIFY_AI</t>
        </is>
      </c>
      <c r="C37" s="25" t="n">
        <v>12</v>
      </c>
      <c r="D37" s="26" t="n"/>
      <c r="E37" s="26" t="n"/>
      <c r="F37" s="25" t="inlineStr">
        <is>
          <t>Dm</t>
        </is>
      </c>
      <c r="G37" s="25" t="n"/>
      <c r="H37" s="25" t="n"/>
      <c r="I37" s="25" t="n"/>
    </row>
    <row r="38">
      <c r="A38" s="25" t="inlineStr">
        <is>
          <t>TEST_004</t>
        </is>
      </c>
      <c r="B38" s="25" t="inlineStr">
        <is>
          <t>WILSIFY_AI</t>
        </is>
      </c>
      <c r="C38" s="25" t="n">
        <v>1</v>
      </c>
      <c r="D38" s="26" t="n"/>
      <c r="E38" s="26" t="n"/>
      <c r="F38" s="25" t="inlineStr">
        <is>
          <t>E</t>
        </is>
      </c>
      <c r="G38" s="25" t="n"/>
      <c r="H38" s="25" t="n"/>
      <c r="I38" s="25" t="inlineStr">
        <is>
          <t>Old 'Wilsify said' output: order only, no timestamps (list is the first chords only).</t>
        </is>
      </c>
    </row>
    <row r="39">
      <c r="A39" s="25" t="inlineStr">
        <is>
          <t>TEST_004</t>
        </is>
      </c>
      <c r="B39" s="25" t="inlineStr">
        <is>
          <t>WILSIFY_AI</t>
        </is>
      </c>
      <c r="C39" s="25" t="n">
        <v>2</v>
      </c>
      <c r="D39" s="26" t="n"/>
      <c r="E39" s="26" t="n"/>
      <c r="F39" s="25" t="inlineStr">
        <is>
          <t>A</t>
        </is>
      </c>
      <c r="G39" s="25" t="n"/>
      <c r="H39" s="25" t="n"/>
      <c r="I39" s="25" t="n"/>
    </row>
    <row r="40">
      <c r="A40" s="25" t="inlineStr">
        <is>
          <t>TEST_004</t>
        </is>
      </c>
      <c r="B40" s="25" t="inlineStr">
        <is>
          <t>WILSIFY_AI</t>
        </is>
      </c>
      <c r="C40" s="25" t="n">
        <v>3</v>
      </c>
      <c r="D40" s="26" t="n"/>
      <c r="E40" s="26" t="n"/>
      <c r="F40" s="25" t="inlineStr">
        <is>
          <t>F#m7</t>
        </is>
      </c>
      <c r="G40" s="25" t="n"/>
      <c r="H40" s="25" t="n"/>
      <c r="I40" s="25" t="n"/>
    </row>
    <row r="41">
      <c r="A41" s="25" t="inlineStr">
        <is>
          <t>TEST_004</t>
        </is>
      </c>
      <c r="B41" s="25" t="inlineStr">
        <is>
          <t>WILSIFY_AI</t>
        </is>
      </c>
      <c r="C41" s="25" t="n">
        <v>4</v>
      </c>
      <c r="D41" s="26" t="n"/>
      <c r="E41" s="26" t="n"/>
      <c r="F41" s="25" t="inlineStr">
        <is>
          <t>E</t>
        </is>
      </c>
      <c r="G41" s="25" t="n"/>
      <c r="H41" s="25" t="n"/>
      <c r="I41" s="25" t="n"/>
    </row>
    <row r="42">
      <c r="A42" s="25" t="inlineStr">
        <is>
          <t>TEST_004</t>
        </is>
      </c>
      <c r="B42" s="25" t="inlineStr">
        <is>
          <t>WILSIFY_AI</t>
        </is>
      </c>
      <c r="C42" s="25" t="n">
        <v>5</v>
      </c>
      <c r="D42" s="26" t="n"/>
      <c r="E42" s="26" t="n"/>
      <c r="F42" s="25" t="inlineStr">
        <is>
          <t>A</t>
        </is>
      </c>
      <c r="G42" s="25" t="n"/>
      <c r="H42" s="25" t="n"/>
      <c r="I42" s="25" t="n"/>
    </row>
    <row r="43">
      <c r="A43" s="25" t="inlineStr">
        <is>
          <t>TEST_004</t>
        </is>
      </c>
      <c r="B43" s="25" t="inlineStr">
        <is>
          <t>WILSIFY_AI</t>
        </is>
      </c>
      <c r="C43" s="25" t="n">
        <v>6</v>
      </c>
      <c r="D43" s="26" t="n"/>
      <c r="E43" s="26" t="n"/>
      <c r="F43" s="25" t="inlineStr">
        <is>
          <t>F#m</t>
        </is>
      </c>
      <c r="G43" s="25" t="n"/>
      <c r="H43" s="25" t="n"/>
      <c r="I43" s="25" t="n"/>
    </row>
    <row r="44">
      <c r="A44" s="25" t="inlineStr">
        <is>
          <t>TEST_004</t>
        </is>
      </c>
      <c r="B44" s="25" t="inlineStr">
        <is>
          <t>WILSIFY_AI</t>
        </is>
      </c>
      <c r="C44" s="25" t="n">
        <v>7</v>
      </c>
      <c r="D44" s="26" t="n"/>
      <c r="E44" s="26" t="n"/>
      <c r="F44" s="25" t="inlineStr">
        <is>
          <t>A</t>
        </is>
      </c>
      <c r="G44" s="25" t="n"/>
      <c r="H44" s="25" t="n"/>
      <c r="I44" s="25" t="n"/>
    </row>
    <row r="45">
      <c r="A45" s="25" t="inlineStr">
        <is>
          <t>TEST_004</t>
        </is>
      </c>
      <c r="B45" s="25" t="inlineStr">
        <is>
          <t>WILSIFY_AI</t>
        </is>
      </c>
      <c r="C45" s="25" t="n">
        <v>8</v>
      </c>
      <c r="D45" s="26" t="n"/>
      <c r="E45" s="26" t="n"/>
      <c r="F45" s="25" t="inlineStr">
        <is>
          <t>F#m</t>
        </is>
      </c>
      <c r="G45" s="25" t="n"/>
      <c r="H45" s="25" t="n"/>
      <c r="I45" s="25" t="n"/>
    </row>
    <row r="46">
      <c r="A46" s="25" t="inlineStr">
        <is>
          <t>TEST_004</t>
        </is>
      </c>
      <c r="B46" s="25" t="inlineStr">
        <is>
          <t>WILSIFY_AI</t>
        </is>
      </c>
      <c r="C46" s="25" t="n">
        <v>9</v>
      </c>
      <c r="D46" s="26" t="n"/>
      <c r="E46" s="26" t="n"/>
      <c r="F46" s="25" t="inlineStr">
        <is>
          <t>Em</t>
        </is>
      </c>
      <c r="G46" s="25" t="n"/>
      <c r="H46" s="25" t="n"/>
      <c r="I46" s="25" t="n"/>
    </row>
    <row r="47">
      <c r="A47" s="25" t="inlineStr">
        <is>
          <t>TEST_004</t>
        </is>
      </c>
      <c r="B47" s="25" t="inlineStr">
        <is>
          <t>WILSIFY_AI</t>
        </is>
      </c>
      <c r="C47" s="25" t="n">
        <v>10</v>
      </c>
      <c r="D47" s="26" t="n"/>
      <c r="E47" s="26" t="n"/>
      <c r="F47" s="25" t="inlineStr">
        <is>
          <t>E</t>
        </is>
      </c>
      <c r="G47" s="25" t="n"/>
      <c r="H47" s="25" t="n"/>
      <c r="I47" s="25" t="n"/>
    </row>
    <row r="48">
      <c r="A48" s="25" t="inlineStr">
        <is>
          <t>TEST_004</t>
        </is>
      </c>
      <c r="B48" s="25" t="inlineStr">
        <is>
          <t>WILSIFY_AI</t>
        </is>
      </c>
      <c r="C48" s="25" t="n">
        <v>11</v>
      </c>
      <c r="D48" s="26" t="n"/>
      <c r="E48" s="26" t="n"/>
      <c r="F48" s="25" t="inlineStr">
        <is>
          <t>G#m</t>
        </is>
      </c>
      <c r="G48" s="25" t="n"/>
      <c r="H48" s="25" t="n"/>
      <c r="I48" s="25" t="n"/>
    </row>
    <row r="49">
      <c r="A49" s="25" t="inlineStr">
        <is>
          <t>TEST_004</t>
        </is>
      </c>
      <c r="B49" s="25" t="inlineStr">
        <is>
          <t>WILSIFY_AI</t>
        </is>
      </c>
      <c r="C49" s="25" t="n">
        <v>12</v>
      </c>
      <c r="D49" s="26" t="n"/>
      <c r="E49" s="26" t="n"/>
      <c r="F49" s="25" t="inlineStr">
        <is>
          <t>E</t>
        </is>
      </c>
      <c r="G49" s="25" t="n"/>
      <c r="H49" s="25" t="n"/>
      <c r="I49" s="25" t="n"/>
    </row>
    <row r="50">
      <c r="A50" s="25" t="inlineStr">
        <is>
          <t>TEST_005</t>
        </is>
      </c>
      <c r="B50" s="25" t="inlineStr">
        <is>
          <t>WILSIFY_AI</t>
        </is>
      </c>
      <c r="C50" s="25" t="n">
        <v>1</v>
      </c>
      <c r="D50" s="26" t="n"/>
      <c r="E50" s="26" t="n"/>
      <c r="F50" s="25" t="inlineStr">
        <is>
          <t>D#</t>
        </is>
      </c>
      <c r="G50" s="25" t="n"/>
      <c r="H50" s="25" t="n"/>
      <c r="I50" s="25" t="inlineStr">
        <is>
          <t>Old 'Wilsify said' output: order only, no timestamps (list is the first chords only).</t>
        </is>
      </c>
    </row>
    <row r="51">
      <c r="A51" s="25" t="inlineStr">
        <is>
          <t>TEST_005</t>
        </is>
      </c>
      <c r="B51" s="25" t="inlineStr">
        <is>
          <t>WILSIFY_AI</t>
        </is>
      </c>
      <c r="C51" s="25" t="n">
        <v>2</v>
      </c>
      <c r="D51" s="26" t="n"/>
      <c r="E51" s="26" t="n"/>
      <c r="F51" s="25" t="inlineStr">
        <is>
          <t>G#</t>
        </is>
      </c>
      <c r="G51" s="25" t="n"/>
      <c r="H51" s="25" t="n"/>
      <c r="I51" s="25" t="n"/>
    </row>
    <row r="52">
      <c r="A52" s="25" t="inlineStr">
        <is>
          <t>TEST_005</t>
        </is>
      </c>
      <c r="B52" s="25" t="inlineStr">
        <is>
          <t>WILSIFY_AI</t>
        </is>
      </c>
      <c r="C52" s="25" t="n">
        <v>3</v>
      </c>
      <c r="D52" s="26" t="n"/>
      <c r="E52" s="26" t="n"/>
      <c r="F52" s="25" t="inlineStr">
        <is>
          <t>Cm7</t>
        </is>
      </c>
      <c r="G52" s="25" t="n"/>
      <c r="H52" s="25" t="n"/>
      <c r="I52" s="25" t="n"/>
    </row>
    <row r="53">
      <c r="A53" s="25" t="inlineStr">
        <is>
          <t>TEST_005</t>
        </is>
      </c>
      <c r="B53" s="25" t="inlineStr">
        <is>
          <t>WILSIFY_AI</t>
        </is>
      </c>
      <c r="C53" s="25" t="n">
        <v>4</v>
      </c>
      <c r="D53" s="26" t="n"/>
      <c r="E53" s="26" t="n"/>
      <c r="F53" s="25" t="inlineStr">
        <is>
          <t>D#</t>
        </is>
      </c>
      <c r="G53" s="25" t="n"/>
      <c r="H53" s="25" t="n"/>
      <c r="I53" s="25" t="n"/>
    </row>
    <row r="54">
      <c r="A54" s="25" t="inlineStr">
        <is>
          <t>TEST_005</t>
        </is>
      </c>
      <c r="B54" s="25" t="inlineStr">
        <is>
          <t>WILSIFY_AI</t>
        </is>
      </c>
      <c r="C54" s="25" t="n">
        <v>5</v>
      </c>
      <c r="D54" s="26" t="n"/>
      <c r="E54" s="26" t="n"/>
      <c r="F54" s="25" t="inlineStr">
        <is>
          <t>A#</t>
        </is>
      </c>
      <c r="G54" s="25" t="n"/>
      <c r="H54" s="25" t="n"/>
      <c r="I54" s="25" t="n"/>
    </row>
    <row r="55">
      <c r="A55" s="25" t="inlineStr">
        <is>
          <t>TEST_005</t>
        </is>
      </c>
      <c r="B55" s="25" t="inlineStr">
        <is>
          <t>WILSIFY_AI</t>
        </is>
      </c>
      <c r="C55" s="25" t="n">
        <v>6</v>
      </c>
      <c r="D55" s="26" t="n"/>
      <c r="E55" s="26" t="n"/>
      <c r="F55" s="25" t="inlineStr">
        <is>
          <t>D#</t>
        </is>
      </c>
      <c r="G55" s="25" t="n"/>
      <c r="H55" s="25" t="n"/>
      <c r="I55" s="25" t="n"/>
    </row>
    <row r="56">
      <c r="A56" s="25" t="inlineStr">
        <is>
          <t>TEST_005</t>
        </is>
      </c>
      <c r="B56" s="25" t="inlineStr">
        <is>
          <t>WILSIFY_AI</t>
        </is>
      </c>
      <c r="C56" s="25" t="n">
        <v>7</v>
      </c>
      <c r="D56" s="26" t="n"/>
      <c r="E56" s="26" t="n"/>
      <c r="F56" s="25" t="inlineStr">
        <is>
          <t>Fm7</t>
        </is>
      </c>
      <c r="G56" s="25" t="n"/>
      <c r="H56" s="25" t="n"/>
      <c r="I56" s="25" t="n"/>
    </row>
    <row r="57">
      <c r="A57" s="25" t="inlineStr">
        <is>
          <t>TEST_005</t>
        </is>
      </c>
      <c r="B57" s="25" t="inlineStr">
        <is>
          <t>WILSIFY_AI</t>
        </is>
      </c>
      <c r="C57" s="25" t="n">
        <v>8</v>
      </c>
      <c r="D57" s="26" t="n"/>
      <c r="E57" s="26" t="n"/>
      <c r="F57" s="25" t="inlineStr">
        <is>
          <t>Cm7</t>
        </is>
      </c>
      <c r="G57" s="25" t="n"/>
      <c r="H57" s="25" t="n"/>
      <c r="I57" s="25" t="n"/>
    </row>
    <row r="58">
      <c r="A58" s="25" t="inlineStr">
        <is>
          <t>TEST_005</t>
        </is>
      </c>
      <c r="B58" s="25" t="inlineStr">
        <is>
          <t>WILSIFY_AI</t>
        </is>
      </c>
      <c r="C58" s="25" t="n">
        <v>9</v>
      </c>
      <c r="D58" s="26" t="n"/>
      <c r="E58" s="26" t="n"/>
      <c r="F58" s="25" t="inlineStr">
        <is>
          <t>D#</t>
        </is>
      </c>
      <c r="G58" s="25" t="n"/>
      <c r="H58" s="25" t="n"/>
      <c r="I58" s="25" t="n"/>
    </row>
    <row r="59">
      <c r="A59" s="25" t="inlineStr">
        <is>
          <t>TEST_005</t>
        </is>
      </c>
      <c r="B59" s="25" t="inlineStr">
        <is>
          <t>WILSIFY_AI</t>
        </is>
      </c>
      <c r="C59" s="25" t="n">
        <v>10</v>
      </c>
      <c r="D59" s="26" t="n"/>
      <c r="E59" s="26" t="n"/>
      <c r="F59" s="25" t="inlineStr">
        <is>
          <t>A#</t>
        </is>
      </c>
      <c r="G59" s="25" t="n"/>
      <c r="H59" s="25" t="n"/>
      <c r="I59" s="25" t="n"/>
    </row>
    <row r="60">
      <c r="A60" s="25" t="inlineStr">
        <is>
          <t>TEST_005</t>
        </is>
      </c>
      <c r="B60" s="25" t="inlineStr">
        <is>
          <t>WILSIFY_AI</t>
        </is>
      </c>
      <c r="C60" s="25" t="n">
        <v>11</v>
      </c>
      <c r="D60" s="26" t="n"/>
      <c r="E60" s="26" t="n"/>
      <c r="F60" s="25" t="inlineStr">
        <is>
          <t>D#</t>
        </is>
      </c>
      <c r="G60" s="25" t="n"/>
      <c r="H60" s="25" t="n"/>
      <c r="I60" s="25" t="n"/>
    </row>
    <row r="61">
      <c r="A61" s="25" t="inlineStr">
        <is>
          <t>TEST_005</t>
        </is>
      </c>
      <c r="B61" s="25" t="inlineStr">
        <is>
          <t>WILSIFY_AI</t>
        </is>
      </c>
      <c r="C61" s="25" t="n">
        <v>12</v>
      </c>
      <c r="D61" s="26" t="n"/>
      <c r="E61" s="26" t="n"/>
      <c r="F61" s="25" t="inlineStr">
        <is>
          <t>G#</t>
        </is>
      </c>
      <c r="G61" s="25" t="n"/>
      <c r="H61" s="25" t="n"/>
      <c r="I61" s="25" t="n"/>
    </row>
    <row r="62">
      <c r="A62" s="25" t="inlineStr">
        <is>
          <t>TEST_006</t>
        </is>
      </c>
      <c r="B62" s="25" t="inlineStr">
        <is>
          <t>WILSIFY_AI</t>
        </is>
      </c>
      <c r="C62" s="25" t="n">
        <v>1</v>
      </c>
      <c r="D62" s="26" t="n"/>
      <c r="E62" s="26" t="n"/>
      <c r="F62" s="25" t="inlineStr">
        <is>
          <t>G</t>
        </is>
      </c>
      <c r="G62" s="25" t="n"/>
      <c r="H62" s="25" t="n"/>
      <c r="I62" s="25" t="inlineStr">
        <is>
          <t>Old 'Wilsify said' output: order only, no timestamps (list is the first chords only).</t>
        </is>
      </c>
    </row>
    <row r="63">
      <c r="A63" s="25" t="inlineStr">
        <is>
          <t>TEST_006</t>
        </is>
      </c>
      <c r="B63" s="25" t="inlineStr">
        <is>
          <t>WILSIFY_AI</t>
        </is>
      </c>
      <c r="C63" s="25" t="n">
        <v>2</v>
      </c>
      <c r="D63" s="26" t="n"/>
      <c r="E63" s="26" t="n"/>
      <c r="F63" s="25" t="inlineStr">
        <is>
          <t>Em</t>
        </is>
      </c>
      <c r="G63" s="25" t="n"/>
      <c r="H63" s="25" t="n"/>
      <c r="I63" s="25" t="n"/>
    </row>
    <row r="64">
      <c r="A64" s="25" t="inlineStr">
        <is>
          <t>TEST_006</t>
        </is>
      </c>
      <c r="B64" s="25" t="inlineStr">
        <is>
          <t>WILSIFY_AI</t>
        </is>
      </c>
      <c r="C64" s="25" t="n">
        <v>3</v>
      </c>
      <c r="D64" s="26" t="n"/>
      <c r="E64" s="26" t="n"/>
      <c r="F64" s="25" t="inlineStr">
        <is>
          <t>G</t>
        </is>
      </c>
      <c r="G64" s="25" t="n"/>
      <c r="H64" s="25" t="n"/>
      <c r="I64" s="25" t="n"/>
    </row>
    <row r="65">
      <c r="A65" s="25" t="inlineStr">
        <is>
          <t>TEST_006</t>
        </is>
      </c>
      <c r="B65" s="25" t="inlineStr">
        <is>
          <t>WILSIFY_AI</t>
        </is>
      </c>
      <c r="C65" s="25" t="n">
        <v>4</v>
      </c>
      <c r="D65" s="26" t="n"/>
      <c r="E65" s="26" t="n"/>
      <c r="F65" s="25" t="inlineStr">
        <is>
          <t>Em7</t>
        </is>
      </c>
      <c r="G65" s="25" t="n"/>
      <c r="H65" s="25" t="n"/>
      <c r="I65" s="25" t="n"/>
    </row>
    <row r="66">
      <c r="A66" s="25" t="inlineStr">
        <is>
          <t>TEST_006</t>
        </is>
      </c>
      <c r="B66" s="25" t="inlineStr">
        <is>
          <t>WILSIFY_AI</t>
        </is>
      </c>
      <c r="C66" s="25" t="n">
        <v>5</v>
      </c>
      <c r="D66" s="26" t="n"/>
      <c r="E66" s="26" t="n"/>
      <c r="F66" s="25" t="inlineStr">
        <is>
          <t>A7</t>
        </is>
      </c>
      <c r="G66" s="25" t="n"/>
      <c r="H66" s="25" t="n"/>
      <c r="I66" s="25" t="n"/>
    </row>
    <row r="67">
      <c r="A67" s="25" t="inlineStr">
        <is>
          <t>TEST_006</t>
        </is>
      </c>
      <c r="B67" s="25" t="inlineStr">
        <is>
          <t>WILSIFY_AI</t>
        </is>
      </c>
      <c r="C67" s="25" t="n">
        <v>6</v>
      </c>
      <c r="D67" s="26" t="n"/>
      <c r="E67" s="26" t="n"/>
      <c r="F67" s="25" t="inlineStr">
        <is>
          <t>G</t>
        </is>
      </c>
      <c r="G67" s="25" t="n"/>
      <c r="H67" s="25" t="n"/>
      <c r="I67" s="25" t="n"/>
    </row>
    <row r="68">
      <c r="A68" s="25" t="inlineStr">
        <is>
          <t>TEST_006</t>
        </is>
      </c>
      <c r="B68" s="25" t="inlineStr">
        <is>
          <t>WILSIFY_AI</t>
        </is>
      </c>
      <c r="C68" s="25" t="n">
        <v>7</v>
      </c>
      <c r="D68" s="26" t="n"/>
      <c r="E68" s="26" t="n"/>
      <c r="F68" s="25" t="inlineStr">
        <is>
          <t>Em7</t>
        </is>
      </c>
      <c r="G68" s="25" t="n"/>
      <c r="H68" s="25" t="n"/>
      <c r="I68" s="25" t="n"/>
    </row>
    <row r="69">
      <c r="A69" s="25" t="inlineStr">
        <is>
          <t>TEST_006</t>
        </is>
      </c>
      <c r="B69" s="25" t="inlineStr">
        <is>
          <t>WILSIFY_AI</t>
        </is>
      </c>
      <c r="C69" s="25" t="n">
        <v>8</v>
      </c>
      <c r="D69" s="26" t="n"/>
      <c r="E69" s="26" t="n"/>
      <c r="F69" s="25" t="inlineStr">
        <is>
          <t>G</t>
        </is>
      </c>
      <c r="G69" s="25" t="n"/>
      <c r="H69" s="25" t="n"/>
      <c r="I69" s="25" t="n"/>
    </row>
    <row r="70">
      <c r="A70" s="25" t="inlineStr">
        <is>
          <t>TEST_006</t>
        </is>
      </c>
      <c r="B70" s="25" t="inlineStr">
        <is>
          <t>WILSIFY_AI</t>
        </is>
      </c>
      <c r="C70" s="25" t="n">
        <v>9</v>
      </c>
      <c r="D70" s="26" t="n"/>
      <c r="E70" s="26" t="n"/>
      <c r="F70" s="25" t="inlineStr">
        <is>
          <t>Em</t>
        </is>
      </c>
      <c r="G70" s="25" t="n"/>
      <c r="H70" s="25" t="n"/>
      <c r="I70" s="25" t="n"/>
    </row>
    <row r="71">
      <c r="A71" s="25" t="inlineStr">
        <is>
          <t>TEST_006</t>
        </is>
      </c>
      <c r="B71" s="25" t="inlineStr">
        <is>
          <t>WILSIFY_AI</t>
        </is>
      </c>
      <c r="C71" s="25" t="n">
        <v>10</v>
      </c>
      <c r="D71" s="26" t="n"/>
      <c r="E71" s="26" t="n"/>
      <c r="F71" s="25" t="inlineStr">
        <is>
          <t>D</t>
        </is>
      </c>
      <c r="G71" s="25" t="n"/>
      <c r="H71" s="25" t="n"/>
      <c r="I71" s="25" t="n"/>
    </row>
    <row r="72">
      <c r="A72" s="25" t="inlineStr">
        <is>
          <t>TEST_006</t>
        </is>
      </c>
      <c r="B72" s="25" t="inlineStr">
        <is>
          <t>WILSIFY_AI</t>
        </is>
      </c>
      <c r="C72" s="25" t="n">
        <v>11</v>
      </c>
      <c r="D72" s="26" t="n"/>
      <c r="E72" s="26" t="n"/>
      <c r="F72" s="25" t="inlineStr">
        <is>
          <t>Em</t>
        </is>
      </c>
      <c r="G72" s="25" t="n"/>
      <c r="H72" s="25" t="n"/>
      <c r="I72" s="25" t="n"/>
    </row>
    <row r="73">
      <c r="A73" s="25" t="inlineStr">
        <is>
          <t>TEST_006</t>
        </is>
      </c>
      <c r="B73" s="25" t="inlineStr">
        <is>
          <t>WILSIFY_AI</t>
        </is>
      </c>
      <c r="C73" s="25" t="n">
        <v>12</v>
      </c>
      <c r="D73" s="26" t="n"/>
      <c r="E73" s="26" t="n"/>
      <c r="F73" s="25" t="inlineStr">
        <is>
          <t>D</t>
        </is>
      </c>
      <c r="G73" s="25" t="n"/>
      <c r="H73" s="25" t="n"/>
      <c r="I73" s="25" t="n"/>
    </row>
    <row r="74">
      <c r="A74" s="25" t="inlineStr">
        <is>
          <t>TEST_007</t>
        </is>
      </c>
      <c r="B74" s="25" t="inlineStr">
        <is>
          <t>WILSIFY_AI</t>
        </is>
      </c>
      <c r="C74" s="25" t="n">
        <v>1</v>
      </c>
      <c r="D74" s="26" t="n"/>
      <c r="E74" s="26" t="n"/>
      <c r="F74" s="25" t="inlineStr">
        <is>
          <t>E</t>
        </is>
      </c>
      <c r="G74" s="25" t="n"/>
      <c r="H74" s="25" t="n"/>
      <c r="I74" s="25" t="inlineStr">
        <is>
          <t>Old 'Wilsify said' output: order only, no timestamps (list is the first chords only).</t>
        </is>
      </c>
    </row>
    <row r="75">
      <c r="A75" s="25" t="inlineStr">
        <is>
          <t>TEST_007</t>
        </is>
      </c>
      <c r="B75" s="25" t="inlineStr">
        <is>
          <t>WILSIFY_AI</t>
        </is>
      </c>
      <c r="C75" s="25" t="n">
        <v>2</v>
      </c>
      <c r="D75" s="26" t="n"/>
      <c r="E75" s="26" t="n"/>
      <c r="F75" s="25" t="inlineStr">
        <is>
          <t>Em</t>
        </is>
      </c>
      <c r="G75" s="25" t="n"/>
      <c r="H75" s="25" t="n"/>
      <c r="I75" s="25" t="n"/>
    </row>
    <row r="76">
      <c r="A76" s="25" t="inlineStr">
        <is>
          <t>TEST_007</t>
        </is>
      </c>
      <c r="B76" s="25" t="inlineStr">
        <is>
          <t>WILSIFY_AI</t>
        </is>
      </c>
      <c r="C76" s="25" t="n">
        <v>3</v>
      </c>
      <c r="D76" s="26" t="n"/>
      <c r="E76" s="26" t="n"/>
      <c r="F76" s="25" t="inlineStr">
        <is>
          <t>Em7</t>
        </is>
      </c>
      <c r="G76" s="25" t="n"/>
      <c r="H76" s="25" t="n"/>
      <c r="I76" s="25" t="n"/>
    </row>
    <row r="77">
      <c r="A77" s="25" t="inlineStr">
        <is>
          <t>TEST_007</t>
        </is>
      </c>
      <c r="B77" s="25" t="inlineStr">
        <is>
          <t>WILSIFY_AI</t>
        </is>
      </c>
      <c r="C77" s="25" t="n">
        <v>4</v>
      </c>
      <c r="D77" s="26" t="n"/>
      <c r="E77" s="26" t="n"/>
      <c r="F77" s="25" t="inlineStr">
        <is>
          <t>D</t>
        </is>
      </c>
      <c r="G77" s="25" t="n"/>
      <c r="H77" s="25" t="n"/>
      <c r="I77" s="25" t="n"/>
    </row>
    <row r="78">
      <c r="A78" s="25" t="inlineStr">
        <is>
          <t>TEST_007</t>
        </is>
      </c>
      <c r="B78" s="25" t="inlineStr">
        <is>
          <t>WILSIFY_AI</t>
        </is>
      </c>
      <c r="C78" s="25" t="n">
        <v>5</v>
      </c>
      <c r="D78" s="26" t="n"/>
      <c r="E78" s="26" t="n"/>
      <c r="F78" s="25" t="inlineStr">
        <is>
          <t>G</t>
        </is>
      </c>
      <c r="G78" s="25" t="n"/>
      <c r="H78" s="25" t="n"/>
      <c r="I78" s="25" t="n"/>
    </row>
    <row r="79">
      <c r="A79" s="25" t="inlineStr">
        <is>
          <t>TEST_007</t>
        </is>
      </c>
      <c r="B79" s="25" t="inlineStr">
        <is>
          <t>WILSIFY_AI</t>
        </is>
      </c>
      <c r="C79" s="25" t="n">
        <v>6</v>
      </c>
      <c r="D79" s="26" t="n"/>
      <c r="E79" s="26" t="n"/>
      <c r="F79" s="25" t="inlineStr">
        <is>
          <t>D</t>
        </is>
      </c>
      <c r="G79" s="25" t="n"/>
      <c r="H79" s="25" t="n"/>
      <c r="I79" s="25" t="n"/>
    </row>
    <row r="80">
      <c r="A80" s="25" t="inlineStr">
        <is>
          <t>TEST_007</t>
        </is>
      </c>
      <c r="B80" s="25" t="inlineStr">
        <is>
          <t>WILSIFY_AI</t>
        </is>
      </c>
      <c r="C80" s="25" t="n">
        <v>7</v>
      </c>
      <c r="D80" s="26" t="n"/>
      <c r="E80" s="26" t="n"/>
      <c r="F80" s="25" t="inlineStr">
        <is>
          <t>Am</t>
        </is>
      </c>
      <c r="G80" s="25" t="n"/>
      <c r="H80" s="25" t="n"/>
      <c r="I80" s="25" t="n"/>
    </row>
    <row r="81">
      <c r="A81" s="25" t="inlineStr">
        <is>
          <t>TEST_007</t>
        </is>
      </c>
      <c r="B81" s="25" t="inlineStr">
        <is>
          <t>WILSIFY_AI</t>
        </is>
      </c>
      <c r="C81" s="25" t="n">
        <v>8</v>
      </c>
      <c r="D81" s="26" t="n"/>
      <c r="E81" s="26" t="n"/>
      <c r="F81" s="25" t="inlineStr">
        <is>
          <t>G</t>
        </is>
      </c>
      <c r="G81" s="25" t="n"/>
      <c r="H81" s="25" t="n"/>
      <c r="I81" s="25" t="n"/>
    </row>
    <row r="82">
      <c r="A82" s="25" t="inlineStr">
        <is>
          <t>TEST_007</t>
        </is>
      </c>
      <c r="B82" s="25" t="inlineStr">
        <is>
          <t>WILSIFY_AI</t>
        </is>
      </c>
      <c r="C82" s="25" t="n">
        <v>9</v>
      </c>
      <c r="D82" s="26" t="n"/>
      <c r="E82" s="26" t="n"/>
      <c r="F82" s="25" t="inlineStr">
        <is>
          <t>Bm</t>
        </is>
      </c>
      <c r="G82" s="25" t="n"/>
      <c r="H82" s="25" t="n"/>
      <c r="I82" s="25" t="n"/>
    </row>
    <row r="83">
      <c r="A83" s="25" t="inlineStr">
        <is>
          <t>TEST_007</t>
        </is>
      </c>
      <c r="B83" s="25" t="inlineStr">
        <is>
          <t>WILSIFY_AI</t>
        </is>
      </c>
      <c r="C83" s="25" t="n">
        <v>10</v>
      </c>
      <c r="D83" s="26" t="n"/>
      <c r="E83" s="26" t="n"/>
      <c r="F83" s="25" t="inlineStr">
        <is>
          <t>Em</t>
        </is>
      </c>
      <c r="G83" s="25" t="n"/>
      <c r="H83" s="25" t="n"/>
      <c r="I83" s="25" t="n"/>
    </row>
    <row r="84">
      <c r="A84" s="25" t="inlineStr">
        <is>
          <t>TEST_007</t>
        </is>
      </c>
      <c r="B84" s="25" t="inlineStr">
        <is>
          <t>WILSIFY_AI</t>
        </is>
      </c>
      <c r="C84" s="25" t="n">
        <v>11</v>
      </c>
      <c r="D84" s="26" t="n"/>
      <c r="E84" s="26" t="n"/>
      <c r="F84" s="25" t="inlineStr">
        <is>
          <t>B7</t>
        </is>
      </c>
      <c r="G84" s="25" t="n"/>
      <c r="H84" s="25" t="n"/>
      <c r="I84" s="25" t="n"/>
    </row>
    <row r="85">
      <c r="A85" s="25" t="inlineStr">
        <is>
          <t>TEST_007</t>
        </is>
      </c>
      <c r="B85" s="25" t="inlineStr">
        <is>
          <t>WILSIFY_AI</t>
        </is>
      </c>
      <c r="C85" s="25" t="n">
        <v>12</v>
      </c>
      <c r="D85" s="26" t="n"/>
      <c r="E85" s="26" t="n"/>
      <c r="F85" s="25" t="inlineStr">
        <is>
          <t>C</t>
        </is>
      </c>
      <c r="G85" s="25" t="n"/>
      <c r="H85" s="25" t="n"/>
      <c r="I85" s="25" t="n"/>
    </row>
    <row r="86">
      <c r="A86" s="25" t="inlineStr">
        <is>
          <t>TEST_008</t>
        </is>
      </c>
      <c r="B86" s="25" t="inlineStr">
        <is>
          <t>WILSIFY_AI</t>
        </is>
      </c>
      <c r="C86" s="25" t="n">
        <v>1</v>
      </c>
      <c r="D86" s="26" t="n"/>
      <c r="E86" s="26" t="n"/>
      <c r="F86" s="25" t="inlineStr">
        <is>
          <t>E</t>
        </is>
      </c>
      <c r="G86" s="25" t="n"/>
      <c r="H86" s="25" t="n"/>
      <c r="I86" s="25" t="inlineStr">
        <is>
          <t>Old 'Wilsify said' output: order only, no timestamps (list is the first chords only).</t>
        </is>
      </c>
    </row>
    <row r="87">
      <c r="A87" s="25" t="inlineStr">
        <is>
          <t>TEST_008</t>
        </is>
      </c>
      <c r="B87" s="25" t="inlineStr">
        <is>
          <t>WILSIFY_AI</t>
        </is>
      </c>
      <c r="C87" s="25" t="n">
        <v>2</v>
      </c>
      <c r="D87" s="26" t="n"/>
      <c r="E87" s="26" t="n"/>
      <c r="F87" s="25" t="inlineStr">
        <is>
          <t>C#m</t>
        </is>
      </c>
      <c r="G87" s="25" t="n"/>
      <c r="H87" s="25" t="n"/>
      <c r="I87" s="25" t="n"/>
    </row>
    <row r="88">
      <c r="A88" s="25" t="inlineStr">
        <is>
          <t>TEST_008</t>
        </is>
      </c>
      <c r="B88" s="25" t="inlineStr">
        <is>
          <t>WILSIFY_AI</t>
        </is>
      </c>
      <c r="C88" s="25" t="n">
        <v>3</v>
      </c>
      <c r="D88" s="26" t="n"/>
      <c r="E88" s="26" t="n"/>
      <c r="F88" s="25" t="inlineStr">
        <is>
          <t>F#m</t>
        </is>
      </c>
      <c r="G88" s="25" t="n"/>
      <c r="H88" s="25" t="n"/>
      <c r="I88" s="25" t="n"/>
    </row>
    <row r="89">
      <c r="A89" s="25" t="inlineStr">
        <is>
          <t>TEST_008</t>
        </is>
      </c>
      <c r="B89" s="25" t="inlineStr">
        <is>
          <t>WILSIFY_AI</t>
        </is>
      </c>
      <c r="C89" s="25" t="n">
        <v>4</v>
      </c>
      <c r="D89" s="26" t="n"/>
      <c r="E89" s="26" t="n"/>
      <c r="F89" s="25" t="inlineStr">
        <is>
          <t>A</t>
        </is>
      </c>
      <c r="G89" s="25" t="n"/>
      <c r="H89" s="25" t="n"/>
      <c r="I89" s="25" t="n"/>
    </row>
    <row r="90">
      <c r="A90" s="25" t="inlineStr">
        <is>
          <t>TEST_008</t>
        </is>
      </c>
      <c r="B90" s="25" t="inlineStr">
        <is>
          <t>WILSIFY_AI</t>
        </is>
      </c>
      <c r="C90" s="25" t="n">
        <v>5</v>
      </c>
      <c r="D90" s="26" t="n"/>
      <c r="E90" s="26" t="n"/>
      <c r="F90" s="25" t="inlineStr">
        <is>
          <t>F#m</t>
        </is>
      </c>
      <c r="G90" s="25" t="n"/>
      <c r="H90" s="25" t="n"/>
      <c r="I90" s="25" t="n"/>
    </row>
    <row r="91">
      <c r="A91" s="25" t="inlineStr">
        <is>
          <t>TEST_008</t>
        </is>
      </c>
      <c r="B91" s="25" t="inlineStr">
        <is>
          <t>WILSIFY_AI</t>
        </is>
      </c>
      <c r="C91" s="25" t="n">
        <v>6</v>
      </c>
      <c r="D91" s="26" t="n"/>
      <c r="E91" s="26" t="n"/>
      <c r="F91" s="25" t="inlineStr">
        <is>
          <t>E</t>
        </is>
      </c>
      <c r="G91" s="25" t="n"/>
      <c r="H91" s="25" t="n"/>
      <c r="I91" s="25" t="n"/>
    </row>
    <row r="92">
      <c r="A92" s="25" t="inlineStr">
        <is>
          <t>TEST_008</t>
        </is>
      </c>
      <c r="B92" s="25" t="inlineStr">
        <is>
          <t>WILSIFY_AI</t>
        </is>
      </c>
      <c r="C92" s="25" t="n">
        <v>7</v>
      </c>
      <c r="D92" s="26" t="n"/>
      <c r="E92" s="26" t="n"/>
      <c r="F92" s="25" t="inlineStr">
        <is>
          <t>B7</t>
        </is>
      </c>
      <c r="G92" s="25" t="n"/>
      <c r="H92" s="25" t="n"/>
      <c r="I92" s="25" t="n"/>
    </row>
    <row r="93">
      <c r="A93" s="25" t="inlineStr">
        <is>
          <t>TEST_008</t>
        </is>
      </c>
      <c r="B93" s="25" t="inlineStr">
        <is>
          <t>WILSIFY_AI</t>
        </is>
      </c>
      <c r="C93" s="25" t="n">
        <v>8</v>
      </c>
      <c r="D93" s="26" t="n"/>
      <c r="E93" s="26" t="n"/>
      <c r="F93" s="25" t="inlineStr">
        <is>
          <t>E</t>
        </is>
      </c>
      <c r="G93" s="25" t="n"/>
      <c r="H93" s="25" t="n"/>
      <c r="I93" s="25" t="n"/>
    </row>
    <row r="94">
      <c r="A94" s="25" t="inlineStr">
        <is>
          <t>TEST_008</t>
        </is>
      </c>
      <c r="B94" s="25" t="inlineStr">
        <is>
          <t>WILSIFY_AI</t>
        </is>
      </c>
      <c r="C94" s="25" t="n">
        <v>9</v>
      </c>
      <c r="D94" s="26" t="n"/>
      <c r="E94" s="26" t="n"/>
      <c r="F94" s="25" t="inlineStr">
        <is>
          <t>Am7</t>
        </is>
      </c>
      <c r="G94" s="25" t="n"/>
      <c r="H94" s="25" t="n"/>
      <c r="I94" s="25" t="n"/>
    </row>
    <row r="95">
      <c r="A95" s="25" t="inlineStr">
        <is>
          <t>TEST_008</t>
        </is>
      </c>
      <c r="B95" s="25" t="inlineStr">
        <is>
          <t>WILSIFY_AI</t>
        </is>
      </c>
      <c r="C95" s="25" t="n">
        <v>10</v>
      </c>
      <c r="D95" s="26" t="n"/>
      <c r="E95" s="26" t="n"/>
      <c r="F95" s="25" t="inlineStr">
        <is>
          <t>E</t>
        </is>
      </c>
      <c r="G95" s="25" t="n"/>
      <c r="H95" s="25" t="n"/>
      <c r="I95" s="25" t="n"/>
    </row>
    <row r="96">
      <c r="A96" s="25" t="inlineStr">
        <is>
          <t>TEST_008</t>
        </is>
      </c>
      <c r="B96" s="25" t="inlineStr">
        <is>
          <t>WILSIFY_AI</t>
        </is>
      </c>
      <c r="C96" s="25" t="n">
        <v>11</v>
      </c>
      <c r="D96" s="26" t="n"/>
      <c r="E96" s="26" t="n"/>
      <c r="F96" s="25" t="inlineStr">
        <is>
          <t>Fm</t>
        </is>
      </c>
      <c r="G96" s="25" t="n"/>
      <c r="H96" s="25" t="n"/>
      <c r="I96" s="25" t="n"/>
    </row>
    <row r="97">
      <c r="A97" s="25" t="inlineStr">
        <is>
          <t>TEST_008</t>
        </is>
      </c>
      <c r="B97" s="25" t="inlineStr">
        <is>
          <t>WILSIFY_AI</t>
        </is>
      </c>
      <c r="C97" s="25" t="n">
        <v>12</v>
      </c>
      <c r="D97" s="26" t="n"/>
      <c r="E97" s="26" t="n"/>
      <c r="F97" s="25" t="inlineStr">
        <is>
          <t>F#m</t>
        </is>
      </c>
      <c r="G97" s="25" t="n"/>
      <c r="H97" s="25" t="n"/>
      <c r="I97" s="25" t="n"/>
    </row>
    <row r="98">
      <c r="A98" s="25" t="inlineStr">
        <is>
          <t>TEST_010</t>
        </is>
      </c>
      <c r="B98" s="25" t="inlineStr">
        <is>
          <t>WILSIFY_AI</t>
        </is>
      </c>
      <c r="C98" s="25" t="n">
        <v>1</v>
      </c>
      <c r="D98" s="26" t="n"/>
      <c r="E98" s="26" t="n"/>
      <c r="F98" s="25" t="inlineStr">
        <is>
          <t>B</t>
        </is>
      </c>
      <c r="G98" s="25" t="n"/>
      <c r="H98" s="25" t="n"/>
      <c r="I98" s="25" t="inlineStr">
        <is>
          <t>Old 'Wilsify said' output: order only, no timestamps (list is the first chords only).</t>
        </is>
      </c>
    </row>
    <row r="99">
      <c r="A99" s="25" t="inlineStr">
        <is>
          <t>TEST_010</t>
        </is>
      </c>
      <c r="B99" s="25" t="inlineStr">
        <is>
          <t>WILSIFY_AI</t>
        </is>
      </c>
      <c r="C99" s="25" t="n">
        <v>2</v>
      </c>
      <c r="D99" s="26" t="n"/>
      <c r="E99" s="26" t="n"/>
      <c r="F99" s="25" t="inlineStr">
        <is>
          <t>C#</t>
        </is>
      </c>
      <c r="G99" s="25" t="n"/>
      <c r="H99" s="25" t="n"/>
      <c r="I99" s="25" t="n"/>
    </row>
    <row r="100">
      <c r="A100" s="25" t="inlineStr">
        <is>
          <t>TEST_010</t>
        </is>
      </c>
      <c r="B100" s="25" t="inlineStr">
        <is>
          <t>WILSIFY_AI</t>
        </is>
      </c>
      <c r="C100" s="25" t="n">
        <v>3</v>
      </c>
      <c r="D100" s="26" t="n"/>
      <c r="E100" s="26" t="n"/>
      <c r="F100" s="25" t="inlineStr">
        <is>
          <t>G#m7</t>
        </is>
      </c>
      <c r="G100" s="25" t="n"/>
      <c r="H100" s="25" t="n"/>
      <c r="I100" s="25" t="n"/>
    </row>
    <row r="101">
      <c r="A101" s="25" t="inlineStr">
        <is>
          <t>TEST_010</t>
        </is>
      </c>
      <c r="B101" s="25" t="inlineStr">
        <is>
          <t>WILSIFY_AI</t>
        </is>
      </c>
      <c r="C101" s="25" t="n">
        <v>4</v>
      </c>
      <c r="D101" s="26" t="n"/>
      <c r="E101" s="26" t="n"/>
      <c r="F101" s="25" t="inlineStr">
        <is>
          <t>F#</t>
        </is>
      </c>
      <c r="G101" s="25" t="n"/>
      <c r="H101" s="25" t="n"/>
      <c r="I101" s="25" t="n"/>
    </row>
    <row r="102">
      <c r="A102" s="25" t="inlineStr">
        <is>
          <t>TEST_010</t>
        </is>
      </c>
      <c r="B102" s="25" t="inlineStr">
        <is>
          <t>WILSIFY_AI</t>
        </is>
      </c>
      <c r="C102" s="25" t="n">
        <v>5</v>
      </c>
      <c r="D102" s="26" t="n"/>
      <c r="E102" s="26" t="n"/>
      <c r="F102" s="25" t="inlineStr">
        <is>
          <t>B</t>
        </is>
      </c>
      <c r="G102" s="25" t="n"/>
      <c r="H102" s="25" t="n"/>
      <c r="I102" s="25" t="n"/>
    </row>
    <row r="103">
      <c r="A103" s="25" t="inlineStr">
        <is>
          <t>TEST_010</t>
        </is>
      </c>
      <c r="B103" s="25" t="inlineStr">
        <is>
          <t>WILSIFY_AI</t>
        </is>
      </c>
      <c r="C103" s="25" t="n">
        <v>6</v>
      </c>
      <c r="D103" s="26" t="n"/>
      <c r="E103" s="26" t="n"/>
      <c r="F103" s="25" t="inlineStr">
        <is>
          <t>G#m</t>
        </is>
      </c>
      <c r="G103" s="25" t="n"/>
      <c r="H103" s="25" t="n"/>
      <c r="I103" s="25" t="n"/>
    </row>
    <row r="104">
      <c r="A104" s="25" t="inlineStr">
        <is>
          <t>TEST_010</t>
        </is>
      </c>
      <c r="B104" s="25" t="inlineStr">
        <is>
          <t>WILSIFY_AI</t>
        </is>
      </c>
      <c r="C104" s="25" t="n">
        <v>7</v>
      </c>
      <c r="D104" s="26" t="n"/>
      <c r="E104" s="26" t="n"/>
      <c r="F104" s="25" t="inlineStr">
        <is>
          <t>C#</t>
        </is>
      </c>
      <c r="G104" s="25" t="n"/>
      <c r="H104" s="25" t="n"/>
      <c r="I104" s="25" t="n"/>
    </row>
    <row r="105">
      <c r="A105" s="25" t="inlineStr">
        <is>
          <t>TEST_010</t>
        </is>
      </c>
      <c r="B105" s="25" t="inlineStr">
        <is>
          <t>WILSIFY_AI</t>
        </is>
      </c>
      <c r="C105" s="25" t="n">
        <v>8</v>
      </c>
      <c r="D105" s="26" t="n"/>
      <c r="E105" s="26" t="n"/>
      <c r="F105" s="25" t="inlineStr">
        <is>
          <t>F#</t>
        </is>
      </c>
      <c r="G105" s="25" t="n"/>
      <c r="H105" s="25" t="n"/>
      <c r="I105" s="25" t="n"/>
    </row>
    <row r="106">
      <c r="A106" s="25" t="inlineStr">
        <is>
          <t>TEST_010</t>
        </is>
      </c>
      <c r="B106" s="25" t="inlineStr">
        <is>
          <t>WILSIFY_AI</t>
        </is>
      </c>
      <c r="C106" s="25" t="n">
        <v>9</v>
      </c>
      <c r="D106" s="26" t="n"/>
      <c r="E106" s="26" t="n"/>
      <c r="F106" s="25" t="inlineStr">
        <is>
          <t>C#</t>
        </is>
      </c>
      <c r="G106" s="25" t="n"/>
      <c r="H106" s="25" t="n"/>
      <c r="I106" s="25" t="n"/>
    </row>
    <row r="107">
      <c r="A107" s="25" t="inlineStr">
        <is>
          <t>TEST_010</t>
        </is>
      </c>
      <c r="B107" s="25" t="inlineStr">
        <is>
          <t>WILSIFY_AI</t>
        </is>
      </c>
      <c r="C107" s="25" t="n">
        <v>10</v>
      </c>
      <c r="D107" s="26" t="n"/>
      <c r="E107" s="26" t="n"/>
      <c r="F107" s="25" t="inlineStr">
        <is>
          <t>G#m7</t>
        </is>
      </c>
      <c r="G107" s="25" t="n"/>
      <c r="H107" s="25" t="n"/>
      <c r="I107" s="25" t="n"/>
    </row>
    <row r="108">
      <c r="A108" s="25" t="inlineStr">
        <is>
          <t>TEST_010</t>
        </is>
      </c>
      <c r="B108" s="25" t="inlineStr">
        <is>
          <t>WILSIFY_AI</t>
        </is>
      </c>
      <c r="C108" s="25" t="n">
        <v>11</v>
      </c>
      <c r="D108" s="26" t="n"/>
      <c r="E108" s="26" t="n"/>
      <c r="F108" s="25" t="inlineStr">
        <is>
          <t>C#</t>
        </is>
      </c>
      <c r="G108" s="25" t="n"/>
      <c r="H108" s="25" t="n"/>
      <c r="I108" s="25" t="n"/>
    </row>
    <row r="109">
      <c r="A109" s="25" t="inlineStr">
        <is>
          <t>TEST_010</t>
        </is>
      </c>
      <c r="B109" s="25" t="inlineStr">
        <is>
          <t>WILSIFY_AI</t>
        </is>
      </c>
      <c r="C109" s="25" t="n">
        <v>12</v>
      </c>
      <c r="D109" s="26" t="n"/>
      <c r="E109" s="26" t="n"/>
      <c r="F109" s="25" t="inlineStr">
        <is>
          <t>F#</t>
        </is>
      </c>
      <c r="G109" s="25" t="n"/>
      <c r="H109" s="25" t="n"/>
      <c r="I109" s="25" t="n"/>
    </row>
    <row r="110">
      <c r="A110" s="25" t="inlineStr">
        <is>
          <t>TEST_011</t>
        </is>
      </c>
      <c r="B110" s="25" t="inlineStr">
        <is>
          <t>WILSIFY_AI</t>
        </is>
      </c>
      <c r="C110" s="25" t="n">
        <v>1</v>
      </c>
      <c r="D110" s="26" t="n"/>
      <c r="E110" s="26" t="n"/>
      <c r="F110" s="25" t="inlineStr">
        <is>
          <t>D7</t>
        </is>
      </c>
      <c r="G110" s="25" t="n"/>
      <c r="H110" s="25" t="n"/>
      <c r="I110" s="25" t="inlineStr">
        <is>
          <t>Old 'Wilsify said' output: order only, no timestamps (list is the first chords only).</t>
        </is>
      </c>
    </row>
    <row r="111">
      <c r="A111" s="25" t="inlineStr">
        <is>
          <t>TEST_011</t>
        </is>
      </c>
      <c r="B111" s="25" t="inlineStr">
        <is>
          <t>WILSIFY_AI</t>
        </is>
      </c>
      <c r="C111" s="25" t="n">
        <v>2</v>
      </c>
      <c r="D111" s="26" t="n"/>
      <c r="E111" s="26" t="n"/>
      <c r="F111" s="25" t="inlineStr">
        <is>
          <t>E</t>
        </is>
      </c>
      <c r="G111" s="25" t="n"/>
      <c r="H111" s="25" t="n"/>
      <c r="I111" s="25" t="n"/>
    </row>
    <row r="112">
      <c r="A112" s="25" t="inlineStr">
        <is>
          <t>TEST_011</t>
        </is>
      </c>
      <c r="B112" s="25" t="inlineStr">
        <is>
          <t>WILSIFY_AI</t>
        </is>
      </c>
      <c r="C112" s="25" t="n">
        <v>3</v>
      </c>
      <c r="D112" s="26" t="n"/>
      <c r="E112" s="26" t="n"/>
      <c r="F112" s="25" t="inlineStr">
        <is>
          <t>B</t>
        </is>
      </c>
      <c r="G112" s="25" t="n"/>
      <c r="H112" s="25" t="n"/>
      <c r="I112" s="25" t="n"/>
    </row>
    <row r="113">
      <c r="A113" s="25" t="inlineStr">
        <is>
          <t>TEST_011</t>
        </is>
      </c>
      <c r="B113" s="25" t="inlineStr">
        <is>
          <t>WILSIFY_AI</t>
        </is>
      </c>
      <c r="C113" s="25" t="n">
        <v>4</v>
      </c>
      <c r="D113" s="26" t="n"/>
      <c r="E113" s="26" t="n"/>
      <c r="F113" s="25" t="inlineStr">
        <is>
          <t>Em</t>
        </is>
      </c>
      <c r="G113" s="25" t="n"/>
      <c r="H113" s="25" t="n"/>
      <c r="I113" s="25" t="n"/>
    </row>
    <row r="114">
      <c r="A114" s="25" t="inlineStr">
        <is>
          <t>TEST_011</t>
        </is>
      </c>
      <c r="B114" s="25" t="inlineStr">
        <is>
          <t>WILSIFY_AI</t>
        </is>
      </c>
      <c r="C114" s="25" t="n">
        <v>5</v>
      </c>
      <c r="D114" s="26" t="n"/>
      <c r="E114" s="26" t="n"/>
      <c r="F114" s="25" t="inlineStr">
        <is>
          <t>E</t>
        </is>
      </c>
      <c r="G114" s="25" t="n"/>
      <c r="H114" s="25" t="n"/>
      <c r="I114" s="25" t="n"/>
    </row>
    <row r="115">
      <c r="A115" s="25" t="inlineStr">
        <is>
          <t>TEST_011</t>
        </is>
      </c>
      <c r="B115" s="25" t="inlineStr">
        <is>
          <t>WILSIFY_AI</t>
        </is>
      </c>
      <c r="C115" s="25" t="n">
        <v>6</v>
      </c>
      <c r="D115" s="26" t="n"/>
      <c r="E115" s="26" t="n"/>
      <c r="F115" s="25" t="inlineStr">
        <is>
          <t>C#m</t>
        </is>
      </c>
      <c r="G115" s="25" t="n"/>
      <c r="H115" s="25" t="n"/>
      <c r="I115" s="25" t="n"/>
    </row>
    <row r="116">
      <c r="A116" s="25" t="inlineStr">
        <is>
          <t>TEST_011</t>
        </is>
      </c>
      <c r="B116" s="25" t="inlineStr">
        <is>
          <t>WILSIFY_AI</t>
        </is>
      </c>
      <c r="C116" s="25" t="n">
        <v>7</v>
      </c>
      <c r="D116" s="26" t="n"/>
      <c r="E116" s="26" t="n"/>
      <c r="F116" s="25" t="inlineStr">
        <is>
          <t>D7</t>
        </is>
      </c>
      <c r="G116" s="25" t="n"/>
      <c r="H116" s="25" t="n"/>
      <c r="I116" s="25" t="n"/>
    </row>
    <row r="117">
      <c r="A117" s="25" t="inlineStr">
        <is>
          <t>TEST_011</t>
        </is>
      </c>
      <c r="B117" s="25" t="inlineStr">
        <is>
          <t>WILSIFY_AI</t>
        </is>
      </c>
      <c r="C117" s="25" t="n">
        <v>8</v>
      </c>
      <c r="D117" s="26" t="n"/>
      <c r="E117" s="26" t="n"/>
      <c r="F117" s="25" t="inlineStr">
        <is>
          <t>B</t>
        </is>
      </c>
      <c r="G117" s="25" t="n"/>
      <c r="H117" s="25" t="n"/>
      <c r="I117" s="25" t="n"/>
    </row>
    <row r="118">
      <c r="A118" s="25" t="inlineStr">
        <is>
          <t>TEST_011</t>
        </is>
      </c>
      <c r="B118" s="25" t="inlineStr">
        <is>
          <t>WILSIFY_AI</t>
        </is>
      </c>
      <c r="C118" s="25" t="n">
        <v>9</v>
      </c>
      <c r="D118" s="26" t="n"/>
      <c r="E118" s="26" t="n"/>
      <c r="F118" s="25" t="inlineStr">
        <is>
          <t>D#m</t>
        </is>
      </c>
      <c r="G118" s="25" t="n"/>
      <c r="H118" s="25" t="n"/>
      <c r="I118" s="25" t="n"/>
    </row>
    <row r="119">
      <c r="A119" s="25" t="inlineStr">
        <is>
          <t>TEST_011</t>
        </is>
      </c>
      <c r="B119" s="25" t="inlineStr">
        <is>
          <t>WILSIFY_AI</t>
        </is>
      </c>
      <c r="C119" s="25" t="n">
        <v>10</v>
      </c>
      <c r="D119" s="26" t="n"/>
      <c r="E119" s="26" t="n"/>
      <c r="F119" s="25" t="inlineStr">
        <is>
          <t>F#7</t>
        </is>
      </c>
      <c r="G119" s="25" t="n"/>
      <c r="H119" s="25" t="n"/>
      <c r="I119" s="25" t="n"/>
    </row>
    <row r="120">
      <c r="A120" s="25" t="inlineStr">
        <is>
          <t>TEST_011</t>
        </is>
      </c>
      <c r="B120" s="25" t="inlineStr">
        <is>
          <t>WILSIFY_AI</t>
        </is>
      </c>
      <c r="C120" s="25" t="n">
        <v>11</v>
      </c>
      <c r="D120" s="26" t="n"/>
      <c r="E120" s="26" t="n"/>
      <c r="F120" s="25" t="inlineStr">
        <is>
          <t>E</t>
        </is>
      </c>
      <c r="G120" s="25" t="n"/>
      <c r="H120" s="25" t="n"/>
      <c r="I120" s="25" t="n"/>
    </row>
    <row r="121">
      <c r="A121" s="25" t="inlineStr">
        <is>
          <t>TEST_011</t>
        </is>
      </c>
      <c r="B121" s="25" t="inlineStr">
        <is>
          <t>WILSIFY_AI</t>
        </is>
      </c>
      <c r="C121" s="25" t="n">
        <v>12</v>
      </c>
      <c r="D121" s="26" t="n"/>
      <c r="E121" s="26" t="n"/>
      <c r="F121" s="25" t="inlineStr">
        <is>
          <t>F#7</t>
        </is>
      </c>
      <c r="G121" s="25" t="n"/>
      <c r="H121" s="25" t="n"/>
      <c r="I121" s="25" t="n"/>
    </row>
    <row r="122">
      <c r="A122" s="25" t="inlineStr">
        <is>
          <t>TEST_012</t>
        </is>
      </c>
      <c r="B122" s="25" t="inlineStr">
        <is>
          <t>WILSIFY_AI</t>
        </is>
      </c>
      <c r="C122" s="25" t="n">
        <v>1</v>
      </c>
      <c r="D122" s="26" t="n"/>
      <c r="E122" s="26" t="n"/>
      <c r="F122" s="25" t="inlineStr">
        <is>
          <t>G#m</t>
        </is>
      </c>
      <c r="G122" s="25" t="n"/>
      <c r="H122" s="25" t="n"/>
      <c r="I122" s="25" t="inlineStr">
        <is>
          <t>Old 'Wilsify said' output: order only, no timestamps (list is the first chords only).</t>
        </is>
      </c>
    </row>
    <row r="123">
      <c r="A123" s="25" t="inlineStr">
        <is>
          <t>TEST_012</t>
        </is>
      </c>
      <c r="B123" s="25" t="inlineStr">
        <is>
          <t>WILSIFY_AI</t>
        </is>
      </c>
      <c r="C123" s="25" t="n">
        <v>2</v>
      </c>
      <c r="D123" s="26" t="n"/>
      <c r="E123" s="26" t="n"/>
      <c r="F123" s="25" t="inlineStr">
        <is>
          <t>F#</t>
        </is>
      </c>
      <c r="G123" s="25" t="n"/>
      <c r="H123" s="25" t="n"/>
      <c r="I123" s="25" t="n"/>
    </row>
    <row r="124">
      <c r="A124" s="25" t="inlineStr">
        <is>
          <t>TEST_012</t>
        </is>
      </c>
      <c r="B124" s="25" t="inlineStr">
        <is>
          <t>WILSIFY_AI</t>
        </is>
      </c>
      <c r="C124" s="25" t="n">
        <v>3</v>
      </c>
      <c r="D124" s="26" t="n"/>
      <c r="E124" s="26" t="n"/>
      <c r="F124" s="25" t="inlineStr">
        <is>
          <t>C#m</t>
        </is>
      </c>
      <c r="G124" s="25" t="n"/>
      <c r="H124" s="25" t="n"/>
      <c r="I124" s="25" t="n"/>
    </row>
    <row r="125">
      <c r="A125" s="25" t="inlineStr">
        <is>
          <t>TEST_012</t>
        </is>
      </c>
      <c r="B125" s="25" t="inlineStr">
        <is>
          <t>WILSIFY_AI</t>
        </is>
      </c>
      <c r="C125" s="25" t="n">
        <v>4</v>
      </c>
      <c r="D125" s="26" t="n"/>
      <c r="E125" s="26" t="n"/>
      <c r="F125" s="25" t="inlineStr">
        <is>
          <t>D#</t>
        </is>
      </c>
      <c r="G125" s="25" t="n"/>
      <c r="H125" s="25" t="n"/>
      <c r="I125" s="25" t="n"/>
    </row>
    <row r="126">
      <c r="A126" s="25" t="inlineStr">
        <is>
          <t>TEST_012</t>
        </is>
      </c>
      <c r="B126" s="25" t="inlineStr">
        <is>
          <t>WILSIFY_AI</t>
        </is>
      </c>
      <c r="C126" s="25" t="n">
        <v>5</v>
      </c>
      <c r="D126" s="26" t="n"/>
      <c r="E126" s="26" t="n"/>
      <c r="F126" s="25" t="inlineStr">
        <is>
          <t>G#m</t>
        </is>
      </c>
      <c r="G126" s="25" t="n"/>
      <c r="H126" s="25" t="n"/>
      <c r="I126" s="25" t="n"/>
    </row>
    <row r="127">
      <c r="A127" s="25" t="inlineStr">
        <is>
          <t>TEST_012</t>
        </is>
      </c>
      <c r="B127" s="25" t="inlineStr">
        <is>
          <t>WILSIFY_AI</t>
        </is>
      </c>
      <c r="C127" s="25" t="n">
        <v>6</v>
      </c>
      <c r="D127" s="26" t="n"/>
      <c r="E127" s="26" t="n"/>
      <c r="F127" s="25" t="inlineStr">
        <is>
          <t>C#m</t>
        </is>
      </c>
      <c r="G127" s="25" t="n"/>
      <c r="H127" s="25" t="n"/>
      <c r="I127" s="25" t="n"/>
    </row>
    <row r="128">
      <c r="A128" s="25" t="inlineStr">
        <is>
          <t>TEST_012</t>
        </is>
      </c>
      <c r="B128" s="25" t="inlineStr">
        <is>
          <t>WILSIFY_AI</t>
        </is>
      </c>
      <c r="C128" s="25" t="n">
        <v>7</v>
      </c>
      <c r="D128" s="26" t="n"/>
      <c r="E128" s="26" t="n"/>
      <c r="F128" s="25" t="inlineStr">
        <is>
          <t>A</t>
        </is>
      </c>
      <c r="G128" s="25" t="n"/>
      <c r="H128" s="25" t="n"/>
      <c r="I128" s="25" t="n"/>
    </row>
    <row r="129">
      <c r="A129" s="25" t="inlineStr">
        <is>
          <t>TEST_012</t>
        </is>
      </c>
      <c r="B129" s="25" t="inlineStr">
        <is>
          <t>WILSIFY_AI</t>
        </is>
      </c>
      <c r="C129" s="25" t="n">
        <v>8</v>
      </c>
      <c r="D129" s="26" t="n"/>
      <c r="E129" s="26" t="n"/>
      <c r="F129" s="25" t="inlineStr">
        <is>
          <t>D#m7</t>
        </is>
      </c>
      <c r="G129" s="25" t="n"/>
      <c r="H129" s="25" t="n"/>
      <c r="I129" s="25" t="n"/>
    </row>
    <row r="130">
      <c r="A130" s="25" t="inlineStr">
        <is>
          <t>TEST_012</t>
        </is>
      </c>
      <c r="B130" s="25" t="inlineStr">
        <is>
          <t>WILSIFY_AI</t>
        </is>
      </c>
      <c r="C130" s="25" t="n">
        <v>9</v>
      </c>
      <c r="D130" s="26" t="n"/>
      <c r="E130" s="26" t="n"/>
      <c r="F130" s="25" t="inlineStr">
        <is>
          <t>D#</t>
        </is>
      </c>
      <c r="G130" s="25" t="n"/>
      <c r="H130" s="25" t="n"/>
      <c r="I130" s="25" t="n"/>
    </row>
    <row r="131">
      <c r="A131" s="25" t="inlineStr">
        <is>
          <t>TEST_012</t>
        </is>
      </c>
      <c r="B131" s="25" t="inlineStr">
        <is>
          <t>WILSIFY_AI</t>
        </is>
      </c>
      <c r="C131" s="25" t="n">
        <v>10</v>
      </c>
      <c r="D131" s="26" t="n"/>
      <c r="E131" s="26" t="n"/>
      <c r="F131" s="25" t="inlineStr">
        <is>
          <t>G#m</t>
        </is>
      </c>
      <c r="G131" s="25" t="n"/>
      <c r="H131" s="25" t="n"/>
      <c r="I131" s="25" t="n"/>
    </row>
    <row r="132">
      <c r="A132" s="25" t="inlineStr">
        <is>
          <t>TEST_012</t>
        </is>
      </c>
      <c r="B132" s="25" t="inlineStr">
        <is>
          <t>WILSIFY_AI</t>
        </is>
      </c>
      <c r="C132" s="25" t="n">
        <v>11</v>
      </c>
      <c r="D132" s="26" t="n"/>
      <c r="E132" s="26" t="n"/>
      <c r="F132" s="25" t="inlineStr">
        <is>
          <t>F#</t>
        </is>
      </c>
      <c r="G132" s="25" t="n"/>
      <c r="H132" s="25" t="n"/>
      <c r="I132" s="25" t="n"/>
    </row>
    <row r="133">
      <c r="A133" s="25" t="inlineStr">
        <is>
          <t>TEST_012</t>
        </is>
      </c>
      <c r="B133" s="25" t="inlineStr">
        <is>
          <t>WILSIFY_AI</t>
        </is>
      </c>
      <c r="C133" s="25" t="n">
        <v>12</v>
      </c>
      <c r="D133" s="26" t="n"/>
      <c r="E133" s="26" t="n"/>
      <c r="F133" s="25" t="inlineStr">
        <is>
          <t>C#m</t>
        </is>
      </c>
      <c r="G133" s="25" t="n"/>
      <c r="H133" s="25" t="n"/>
      <c r="I133" s="25" t="n"/>
    </row>
    <row r="134">
      <c r="D134" s="12" t="n"/>
      <c r="E134" s="12" t="n"/>
    </row>
    <row r="135">
      <c r="D135" s="12" t="n"/>
      <c r="E135" s="12" t="n"/>
    </row>
    <row r="136">
      <c r="D136" s="12" t="n"/>
      <c r="E136" s="12" t="n"/>
    </row>
    <row r="137">
      <c r="D137" s="12" t="n"/>
      <c r="E137" s="12" t="n"/>
    </row>
    <row r="138">
      <c r="D138" s="12" t="n"/>
      <c r="E138" s="12" t="n"/>
    </row>
    <row r="139">
      <c r="D139" s="12" t="n"/>
      <c r="E139" s="12" t="n"/>
    </row>
    <row r="140">
      <c r="D140" s="12" t="n"/>
      <c r="E140" s="12" t="n"/>
    </row>
    <row r="141">
      <c r="D141" s="12" t="n"/>
      <c r="E141" s="12" t="n"/>
    </row>
    <row r="142">
      <c r="D142" s="12" t="n"/>
      <c r="E142" s="12" t="n"/>
    </row>
    <row r="143">
      <c r="D143" s="12" t="n"/>
      <c r="E143" s="12" t="n"/>
    </row>
    <row r="144">
      <c r="D144" s="12" t="n"/>
      <c r="E144" s="12" t="n"/>
    </row>
    <row r="145">
      <c r="D145" s="12" t="n"/>
      <c r="E145" s="12" t="n"/>
    </row>
    <row r="146">
      <c r="D146" s="12" t="n"/>
      <c r="E146" s="12" t="n"/>
    </row>
    <row r="147">
      <c r="D147" s="12" t="n"/>
      <c r="E147" s="12" t="n"/>
    </row>
    <row r="148">
      <c r="D148" s="12" t="n"/>
      <c r="E148" s="12" t="n"/>
    </row>
    <row r="149">
      <c r="D149" s="12" t="n"/>
      <c r="E149" s="12" t="n"/>
    </row>
    <row r="150">
      <c r="D150" s="12" t="n"/>
      <c r="E150" s="12" t="n"/>
    </row>
    <row r="151">
      <c r="D151" s="12" t="n"/>
      <c r="E151" s="12" t="n"/>
    </row>
    <row r="152">
      <c r="D152" s="12" t="n"/>
      <c r="E152" s="12" t="n"/>
    </row>
    <row r="153">
      <c r="D153" s="12" t="n"/>
      <c r="E153" s="12" t="n"/>
    </row>
    <row r="154">
      <c r="D154" s="12" t="n"/>
      <c r="E154" s="12" t="n"/>
    </row>
    <row r="155">
      <c r="D155" s="12" t="n"/>
      <c r="E155" s="12" t="n"/>
    </row>
    <row r="156">
      <c r="D156" s="12" t="n"/>
      <c r="E156" s="12" t="n"/>
    </row>
    <row r="157">
      <c r="D157" s="12" t="n"/>
      <c r="E157" s="12" t="n"/>
    </row>
    <row r="158">
      <c r="D158" s="12" t="n"/>
      <c r="E158" s="12" t="n"/>
    </row>
    <row r="159">
      <c r="D159" s="12" t="n"/>
      <c r="E159" s="12" t="n"/>
    </row>
    <row r="160">
      <c r="D160" s="12" t="n"/>
      <c r="E160" s="12" t="n"/>
    </row>
    <row r="161">
      <c r="D161" s="12" t="n"/>
      <c r="E161" s="12" t="n"/>
    </row>
    <row r="162">
      <c r="D162" s="12" t="n"/>
      <c r="E162" s="12" t="n"/>
    </row>
    <row r="163">
      <c r="D163" s="12" t="n"/>
      <c r="E163" s="12" t="n"/>
    </row>
    <row r="164">
      <c r="D164" s="12" t="n"/>
      <c r="E164" s="12" t="n"/>
    </row>
    <row r="165">
      <c r="D165" s="12" t="n"/>
      <c r="E165" s="12" t="n"/>
    </row>
    <row r="166">
      <c r="D166" s="12" t="n"/>
      <c r="E166" s="12" t="n"/>
    </row>
    <row r="167">
      <c r="D167" s="12" t="n"/>
      <c r="E167" s="12" t="n"/>
    </row>
    <row r="168">
      <c r="D168" s="12" t="n"/>
      <c r="E168" s="12" t="n"/>
    </row>
    <row r="169">
      <c r="D169" s="12" t="n"/>
      <c r="E169" s="12" t="n"/>
    </row>
    <row r="170">
      <c r="D170" s="12" t="n"/>
      <c r="E170" s="12" t="n"/>
    </row>
    <row r="171">
      <c r="D171" s="12" t="n"/>
      <c r="E171" s="12" t="n"/>
    </row>
    <row r="172">
      <c r="D172" s="12" t="n"/>
      <c r="E172" s="12" t="n"/>
    </row>
    <row r="173">
      <c r="D173" s="12" t="n"/>
      <c r="E173" s="12" t="n"/>
    </row>
    <row r="174">
      <c r="D174" s="12" t="n"/>
      <c r="E174" s="12" t="n"/>
    </row>
    <row r="175">
      <c r="D175" s="12" t="n"/>
      <c r="E175" s="12" t="n"/>
    </row>
    <row r="176">
      <c r="D176" s="12" t="n"/>
      <c r="E176" s="12" t="n"/>
    </row>
    <row r="177">
      <c r="D177" s="12" t="n"/>
      <c r="E177" s="12" t="n"/>
    </row>
    <row r="178">
      <c r="D178" s="12" t="n"/>
      <c r="E178" s="12" t="n"/>
    </row>
    <row r="179">
      <c r="D179" s="12" t="n"/>
      <c r="E179" s="12" t="n"/>
    </row>
    <row r="180">
      <c r="D180" s="12" t="n"/>
      <c r="E180" s="12" t="n"/>
    </row>
    <row r="181">
      <c r="D181" s="12" t="n"/>
      <c r="E181" s="12" t="n"/>
    </row>
    <row r="182">
      <c r="D182" s="12" t="n"/>
      <c r="E182" s="12" t="n"/>
    </row>
    <row r="183">
      <c r="D183" s="12" t="n"/>
      <c r="E183" s="12" t="n"/>
    </row>
    <row r="184">
      <c r="D184" s="12" t="n"/>
      <c r="E184" s="12" t="n"/>
    </row>
    <row r="185">
      <c r="D185" s="12" t="n"/>
      <c r="E185" s="12" t="n"/>
    </row>
    <row r="186">
      <c r="D186" s="12" t="n"/>
      <c r="E186" s="12" t="n"/>
    </row>
    <row r="187">
      <c r="D187" s="12" t="n"/>
      <c r="E187" s="12" t="n"/>
    </row>
    <row r="188">
      <c r="D188" s="12" t="n"/>
      <c r="E188" s="12" t="n"/>
    </row>
    <row r="189">
      <c r="D189" s="12" t="n"/>
      <c r="E189" s="12" t="n"/>
    </row>
    <row r="190">
      <c r="D190" s="12" t="n"/>
      <c r="E190" s="12" t="n"/>
    </row>
    <row r="191">
      <c r="D191" s="12" t="n"/>
      <c r="E191" s="12" t="n"/>
    </row>
    <row r="192">
      <c r="D192" s="12" t="n"/>
      <c r="E192" s="12" t="n"/>
    </row>
    <row r="193">
      <c r="D193" s="12" t="n"/>
      <c r="E193" s="12" t="n"/>
    </row>
    <row r="194">
      <c r="D194" s="12" t="n"/>
      <c r="E194" s="12" t="n"/>
    </row>
    <row r="195">
      <c r="D195" s="12" t="n"/>
      <c r="E195" s="12" t="n"/>
    </row>
    <row r="196">
      <c r="D196" s="12" t="n"/>
      <c r="E196" s="12" t="n"/>
    </row>
    <row r="197">
      <c r="D197" s="12" t="n"/>
      <c r="E197" s="12" t="n"/>
    </row>
    <row r="198">
      <c r="D198" s="12" t="n"/>
      <c r="E198" s="12" t="n"/>
    </row>
    <row r="199">
      <c r="D199" s="12" t="n"/>
      <c r="E199" s="12" t="n"/>
    </row>
    <row r="200">
      <c r="D200" s="12" t="n"/>
      <c r="E200" s="12" t="n"/>
    </row>
    <row r="201">
      <c r="D201" s="12" t="n"/>
      <c r="E201" s="12" t="n"/>
    </row>
    <row r="202">
      <c r="D202" s="12" t="n"/>
      <c r="E202" s="12" t="n"/>
    </row>
    <row r="203">
      <c r="D203" s="12" t="n"/>
      <c r="E203" s="12" t="n"/>
    </row>
    <row r="204">
      <c r="D204" s="12" t="n"/>
      <c r="E204" s="12" t="n"/>
    </row>
    <row r="205">
      <c r="D205" s="12" t="n"/>
      <c r="E205" s="12" t="n"/>
    </row>
    <row r="206">
      <c r="D206" s="12" t="n"/>
      <c r="E206" s="12" t="n"/>
    </row>
    <row r="207">
      <c r="D207" s="12" t="n"/>
      <c r="E207" s="12" t="n"/>
    </row>
    <row r="208">
      <c r="D208" s="12" t="n"/>
      <c r="E208" s="12" t="n"/>
    </row>
    <row r="209">
      <c r="D209" s="12" t="n"/>
      <c r="E209" s="12" t="n"/>
    </row>
    <row r="210">
      <c r="D210" s="12" t="n"/>
      <c r="E210" s="12" t="n"/>
    </row>
    <row r="211">
      <c r="D211" s="12" t="n"/>
      <c r="E211" s="12" t="n"/>
    </row>
    <row r="212">
      <c r="D212" s="12" t="n"/>
      <c r="E212" s="12" t="n"/>
    </row>
    <row r="213">
      <c r="D213" s="12" t="n"/>
      <c r="E213" s="12" t="n"/>
    </row>
    <row r="214">
      <c r="D214" s="12" t="n"/>
      <c r="E214" s="12" t="n"/>
    </row>
    <row r="215">
      <c r="D215" s="12" t="n"/>
      <c r="E215" s="12" t="n"/>
    </row>
    <row r="216">
      <c r="D216" s="12" t="n"/>
      <c r="E216" s="12" t="n"/>
    </row>
    <row r="217">
      <c r="D217" s="12" t="n"/>
      <c r="E217" s="12" t="n"/>
    </row>
    <row r="218">
      <c r="D218" s="12" t="n"/>
      <c r="E218" s="12" t="n"/>
    </row>
    <row r="219">
      <c r="D219" s="12" t="n"/>
      <c r="E219" s="12" t="n"/>
    </row>
    <row r="220">
      <c r="D220" s="12" t="n"/>
      <c r="E220" s="12" t="n"/>
    </row>
    <row r="221">
      <c r="D221" s="12" t="n"/>
      <c r="E221" s="12" t="n"/>
    </row>
    <row r="222">
      <c r="D222" s="12" t="n"/>
      <c r="E222" s="12" t="n"/>
    </row>
    <row r="223">
      <c r="D223" s="12" t="n"/>
      <c r="E223" s="12" t="n"/>
    </row>
    <row r="224">
      <c r="D224" s="12" t="n"/>
      <c r="E224" s="12" t="n"/>
    </row>
    <row r="225">
      <c r="D225" s="12" t="n"/>
      <c r="E225" s="12" t="n"/>
    </row>
    <row r="226">
      <c r="D226" s="12" t="n"/>
      <c r="E226" s="12" t="n"/>
    </row>
    <row r="227">
      <c r="D227" s="12" t="n"/>
      <c r="E227" s="12" t="n"/>
    </row>
    <row r="228">
      <c r="D228" s="12" t="n"/>
      <c r="E228" s="12" t="n"/>
    </row>
    <row r="229">
      <c r="D229" s="12" t="n"/>
      <c r="E229" s="12" t="n"/>
    </row>
    <row r="230">
      <c r="D230" s="12" t="n"/>
      <c r="E230" s="12" t="n"/>
    </row>
    <row r="231">
      <c r="D231" s="12" t="n"/>
      <c r="E231" s="12" t="n"/>
    </row>
    <row r="232">
      <c r="D232" s="12" t="n"/>
      <c r="E232" s="12" t="n"/>
    </row>
    <row r="233">
      <c r="D233" s="12" t="n"/>
      <c r="E233" s="12" t="n"/>
    </row>
    <row r="234">
      <c r="D234" s="12" t="n"/>
      <c r="E234" s="12" t="n"/>
    </row>
    <row r="235">
      <c r="D235" s="12" t="n"/>
      <c r="E235" s="12" t="n"/>
    </row>
    <row r="236">
      <c r="D236" s="12" t="n"/>
      <c r="E236" s="12" t="n"/>
    </row>
    <row r="237">
      <c r="D237" s="12" t="n"/>
      <c r="E237" s="12" t="n"/>
    </row>
    <row r="238">
      <c r="D238" s="12" t="n"/>
      <c r="E238" s="12" t="n"/>
    </row>
    <row r="239">
      <c r="D239" s="12" t="n"/>
      <c r="E239" s="12" t="n"/>
    </row>
    <row r="240">
      <c r="D240" s="12" t="n"/>
      <c r="E240" s="12" t="n"/>
    </row>
    <row r="241">
      <c r="D241" s="12" t="n"/>
      <c r="E241" s="12" t="n"/>
    </row>
    <row r="242">
      <c r="D242" s="12" t="n"/>
      <c r="E242" s="12" t="n"/>
    </row>
    <row r="243">
      <c r="D243" s="12" t="n"/>
      <c r="E243" s="12" t="n"/>
    </row>
    <row r="244">
      <c r="D244" s="12" t="n"/>
      <c r="E244" s="12" t="n"/>
    </row>
    <row r="245">
      <c r="D245" s="12" t="n"/>
      <c r="E245" s="12" t="n"/>
    </row>
    <row r="246">
      <c r="D246" s="12" t="n"/>
      <c r="E246" s="12" t="n"/>
    </row>
    <row r="247">
      <c r="D247" s="12" t="n"/>
      <c r="E247" s="12" t="n"/>
    </row>
    <row r="248">
      <c r="D248" s="12" t="n"/>
      <c r="E248" s="12" t="n"/>
    </row>
    <row r="249">
      <c r="D249" s="12" t="n"/>
      <c r="E249" s="12" t="n"/>
    </row>
    <row r="250">
      <c r="D250" s="12" t="n"/>
      <c r="E250" s="12" t="n"/>
    </row>
    <row r="251">
      <c r="D251" s="12" t="n"/>
      <c r="E251" s="12" t="n"/>
    </row>
    <row r="252">
      <c r="D252" s="12" t="n"/>
      <c r="E252" s="12" t="n"/>
    </row>
    <row r="253">
      <c r="D253" s="12" t="n"/>
      <c r="E253" s="12" t="n"/>
    </row>
    <row r="254">
      <c r="D254" s="12" t="n"/>
      <c r="E254" s="12" t="n"/>
    </row>
    <row r="255">
      <c r="D255" s="12" t="n"/>
      <c r="E255" s="12" t="n"/>
    </row>
    <row r="256">
      <c r="D256" s="12" t="n"/>
      <c r="E256" s="12" t="n"/>
    </row>
    <row r="257">
      <c r="D257" s="12" t="n"/>
      <c r="E257" s="12" t="n"/>
    </row>
    <row r="258">
      <c r="D258" s="12" t="n"/>
      <c r="E258" s="12" t="n"/>
    </row>
    <row r="259">
      <c r="D259" s="12" t="n"/>
      <c r="E259" s="12" t="n"/>
    </row>
    <row r="260">
      <c r="D260" s="12" t="n"/>
      <c r="E260" s="12" t="n"/>
    </row>
    <row r="261">
      <c r="D261" s="12" t="n"/>
      <c r="E261" s="12" t="n"/>
    </row>
    <row r="262">
      <c r="D262" s="12" t="n"/>
      <c r="E262" s="12" t="n"/>
    </row>
    <row r="263">
      <c r="D263" s="12" t="n"/>
      <c r="E263" s="12" t="n"/>
    </row>
    <row r="264">
      <c r="D264" s="12" t="n"/>
      <c r="E264" s="12" t="n"/>
    </row>
    <row r="265">
      <c r="D265" s="12" t="n"/>
      <c r="E265" s="12" t="n"/>
    </row>
    <row r="266">
      <c r="D266" s="12" t="n"/>
      <c r="E266" s="12" t="n"/>
    </row>
    <row r="267">
      <c r="D267" s="12" t="n"/>
      <c r="E267" s="12" t="n"/>
    </row>
    <row r="268">
      <c r="D268" s="12" t="n"/>
      <c r="E268" s="12" t="n"/>
    </row>
    <row r="269">
      <c r="D269" s="12" t="n"/>
      <c r="E269" s="12" t="n"/>
    </row>
    <row r="270">
      <c r="D270" s="12" t="n"/>
      <c r="E270" s="12" t="n"/>
    </row>
    <row r="271">
      <c r="D271" s="12" t="n"/>
      <c r="E271" s="12" t="n"/>
    </row>
    <row r="272">
      <c r="D272" s="12" t="n"/>
      <c r="E272" s="12" t="n"/>
    </row>
    <row r="273">
      <c r="D273" s="12" t="n"/>
      <c r="E273" s="12" t="n"/>
    </row>
    <row r="274">
      <c r="D274" s="12" t="n"/>
      <c r="E274" s="12" t="n"/>
    </row>
    <row r="275">
      <c r="D275" s="12" t="n"/>
      <c r="E275" s="12" t="n"/>
    </row>
    <row r="276">
      <c r="D276" s="12" t="n"/>
      <c r="E276" s="12" t="n"/>
    </row>
    <row r="277">
      <c r="D277" s="12" t="n"/>
      <c r="E277" s="12" t="n"/>
    </row>
    <row r="278">
      <c r="D278" s="12" t="n"/>
      <c r="E278" s="12" t="n"/>
    </row>
    <row r="279">
      <c r="D279" s="12" t="n"/>
      <c r="E279" s="12" t="n"/>
    </row>
    <row r="280">
      <c r="D280" s="12" t="n"/>
      <c r="E280" s="12" t="n"/>
    </row>
    <row r="281">
      <c r="D281" s="12" t="n"/>
      <c r="E281" s="12" t="n"/>
    </row>
    <row r="282">
      <c r="D282" s="12" t="n"/>
      <c r="E282" s="12" t="n"/>
    </row>
    <row r="283">
      <c r="D283" s="12" t="n"/>
      <c r="E283" s="12" t="n"/>
    </row>
    <row r="284">
      <c r="D284" s="12" t="n"/>
      <c r="E284" s="12" t="n"/>
    </row>
    <row r="285">
      <c r="D285" s="12" t="n"/>
      <c r="E285" s="12" t="n"/>
    </row>
    <row r="286">
      <c r="D286" s="12" t="n"/>
      <c r="E286" s="12" t="n"/>
    </row>
    <row r="287">
      <c r="D287" s="12" t="n"/>
      <c r="E287" s="12" t="n"/>
    </row>
    <row r="288">
      <c r="D288" s="12" t="n"/>
      <c r="E288" s="12" t="n"/>
    </row>
    <row r="289">
      <c r="D289" s="12" t="n"/>
      <c r="E289" s="12" t="n"/>
    </row>
    <row r="290">
      <c r="D290" s="12" t="n"/>
      <c r="E290" s="12" t="n"/>
    </row>
    <row r="291">
      <c r="D291" s="12" t="n"/>
      <c r="E291" s="12" t="n"/>
    </row>
    <row r="292">
      <c r="D292" s="12" t="n"/>
      <c r="E292" s="12" t="n"/>
    </row>
    <row r="293">
      <c r="D293" s="12" t="n"/>
      <c r="E293" s="12" t="n"/>
    </row>
    <row r="294">
      <c r="D294" s="12" t="n"/>
      <c r="E294" s="12" t="n"/>
    </row>
    <row r="295">
      <c r="D295" s="12" t="n"/>
      <c r="E295" s="12" t="n"/>
    </row>
    <row r="296">
      <c r="D296" s="12" t="n"/>
      <c r="E296" s="12" t="n"/>
    </row>
    <row r="297">
      <c r="D297" s="12" t="n"/>
      <c r="E297" s="12" t="n"/>
    </row>
    <row r="298">
      <c r="D298" s="12" t="n"/>
      <c r="E298" s="12" t="n"/>
    </row>
    <row r="299">
      <c r="D299" s="12" t="n"/>
      <c r="E299" s="12" t="n"/>
    </row>
    <row r="300">
      <c r="D300" s="12" t="n"/>
      <c r="E300" s="12" t="n"/>
    </row>
    <row r="301">
      <c r="D301" s="12" t="n"/>
      <c r="E301" s="12" t="n"/>
    </row>
    <row r="302">
      <c r="D302" s="12" t="n"/>
      <c r="E302" s="12" t="n"/>
    </row>
    <row r="303">
      <c r="D303" s="12" t="n"/>
      <c r="E303" s="12" t="n"/>
    </row>
    <row r="304">
      <c r="D304" s="12" t="n"/>
      <c r="E304" s="12" t="n"/>
    </row>
    <row r="305">
      <c r="D305" s="12" t="n"/>
      <c r="E305" s="12" t="n"/>
    </row>
    <row r="306">
      <c r="D306" s="12" t="n"/>
      <c r="E306" s="12" t="n"/>
    </row>
    <row r="307">
      <c r="D307" s="12" t="n"/>
      <c r="E307" s="12" t="n"/>
    </row>
    <row r="308">
      <c r="D308" s="12" t="n"/>
      <c r="E308" s="12" t="n"/>
    </row>
    <row r="309">
      <c r="D309" s="12" t="n"/>
      <c r="E309" s="12" t="n"/>
    </row>
    <row r="310">
      <c r="D310" s="12" t="n"/>
      <c r="E310" s="12" t="n"/>
    </row>
    <row r="311">
      <c r="D311" s="12" t="n"/>
      <c r="E311" s="12" t="n"/>
    </row>
    <row r="312">
      <c r="D312" s="12" t="n"/>
      <c r="E312" s="12" t="n"/>
    </row>
    <row r="313">
      <c r="D313" s="12" t="n"/>
      <c r="E313" s="12" t="n"/>
    </row>
    <row r="314">
      <c r="D314" s="12" t="n"/>
      <c r="E314" s="12" t="n"/>
    </row>
    <row r="315">
      <c r="D315" s="12" t="n"/>
      <c r="E315" s="12" t="n"/>
    </row>
    <row r="316">
      <c r="D316" s="12" t="n"/>
      <c r="E316" s="12" t="n"/>
    </row>
    <row r="317">
      <c r="D317" s="12" t="n"/>
      <c r="E317" s="12" t="n"/>
    </row>
    <row r="318">
      <c r="D318" s="12" t="n"/>
      <c r="E318" s="12" t="n"/>
    </row>
    <row r="319">
      <c r="D319" s="12" t="n"/>
      <c r="E319" s="12" t="n"/>
    </row>
    <row r="320">
      <c r="D320" s="12" t="n"/>
      <c r="E320" s="12" t="n"/>
    </row>
    <row r="321">
      <c r="D321" s="12" t="n"/>
      <c r="E321" s="12" t="n"/>
    </row>
    <row r="322">
      <c r="D322" s="12" t="n"/>
      <c r="E322" s="12" t="n"/>
    </row>
    <row r="323">
      <c r="D323" s="12" t="n"/>
      <c r="E323" s="12" t="n"/>
    </row>
    <row r="324">
      <c r="D324" s="12" t="n"/>
      <c r="E324" s="12" t="n"/>
    </row>
    <row r="325">
      <c r="D325" s="12" t="n"/>
      <c r="E325" s="12" t="n"/>
    </row>
    <row r="326">
      <c r="D326" s="12" t="n"/>
      <c r="E326" s="12" t="n"/>
    </row>
    <row r="327">
      <c r="D327" s="12" t="n"/>
      <c r="E327" s="12" t="n"/>
    </row>
    <row r="328">
      <c r="D328" s="12" t="n"/>
      <c r="E328" s="12" t="n"/>
    </row>
    <row r="329">
      <c r="D329" s="12" t="n"/>
      <c r="E329" s="12" t="n"/>
    </row>
    <row r="330">
      <c r="D330" s="12" t="n"/>
      <c r="E330" s="12" t="n"/>
    </row>
    <row r="331">
      <c r="D331" s="12" t="n"/>
      <c r="E331" s="12" t="n"/>
    </row>
    <row r="332">
      <c r="D332" s="12" t="n"/>
      <c r="E332" s="12" t="n"/>
    </row>
    <row r="333">
      <c r="D333" s="12" t="n"/>
      <c r="E333" s="12" t="n"/>
    </row>
    <row r="334">
      <c r="D334" s="12" t="n"/>
      <c r="E334" s="12" t="n"/>
    </row>
    <row r="335">
      <c r="D335" s="12" t="n"/>
      <c r="E335" s="12" t="n"/>
    </row>
    <row r="336">
      <c r="D336" s="12" t="n"/>
      <c r="E336" s="12" t="n"/>
    </row>
    <row r="337">
      <c r="D337" s="12" t="n"/>
      <c r="E337" s="12" t="n"/>
    </row>
    <row r="338">
      <c r="D338" s="12" t="n"/>
      <c r="E338" s="12" t="n"/>
    </row>
    <row r="339">
      <c r="D339" s="12" t="n"/>
      <c r="E339" s="12" t="n"/>
    </row>
    <row r="340">
      <c r="D340" s="12" t="n"/>
      <c r="E340" s="12" t="n"/>
    </row>
    <row r="341">
      <c r="D341" s="12" t="n"/>
      <c r="E341" s="12" t="n"/>
    </row>
    <row r="342">
      <c r="D342" s="12" t="n"/>
      <c r="E342" s="12" t="n"/>
    </row>
    <row r="343">
      <c r="D343" s="12" t="n"/>
      <c r="E343" s="12" t="n"/>
    </row>
    <row r="344">
      <c r="D344" s="12" t="n"/>
      <c r="E344" s="12" t="n"/>
    </row>
    <row r="345">
      <c r="D345" s="12" t="n"/>
      <c r="E345" s="12" t="n"/>
    </row>
    <row r="346">
      <c r="D346" s="12" t="n"/>
      <c r="E346" s="12" t="n"/>
    </row>
    <row r="347">
      <c r="D347" s="12" t="n"/>
      <c r="E347" s="12" t="n"/>
    </row>
    <row r="348">
      <c r="D348" s="12" t="n"/>
      <c r="E348" s="12" t="n"/>
    </row>
    <row r="349">
      <c r="D349" s="12" t="n"/>
      <c r="E349" s="12" t="n"/>
    </row>
    <row r="350">
      <c r="D350" s="12" t="n"/>
      <c r="E350" s="12" t="n"/>
    </row>
    <row r="351">
      <c r="D351" s="12" t="n"/>
      <c r="E351" s="12" t="n"/>
    </row>
    <row r="352">
      <c r="D352" s="12" t="n"/>
      <c r="E352" s="12" t="n"/>
    </row>
    <row r="353">
      <c r="D353" s="12" t="n"/>
      <c r="E353" s="12" t="n"/>
    </row>
    <row r="354">
      <c r="D354" s="12" t="n"/>
      <c r="E354" s="12" t="n"/>
    </row>
    <row r="355">
      <c r="D355" s="12" t="n"/>
      <c r="E355" s="12" t="n"/>
    </row>
    <row r="356">
      <c r="D356" s="12" t="n"/>
      <c r="E356" s="12" t="n"/>
    </row>
    <row r="357">
      <c r="D357" s="12" t="n"/>
      <c r="E357" s="12" t="n"/>
    </row>
    <row r="358">
      <c r="D358" s="12" t="n"/>
      <c r="E358" s="12" t="n"/>
    </row>
    <row r="359">
      <c r="D359" s="12" t="n"/>
      <c r="E359" s="12" t="n"/>
    </row>
    <row r="360">
      <c r="D360" s="12" t="n"/>
      <c r="E360" s="12" t="n"/>
    </row>
    <row r="361">
      <c r="D361" s="12" t="n"/>
      <c r="E361" s="12" t="n"/>
    </row>
    <row r="362">
      <c r="D362" s="12" t="n"/>
      <c r="E362" s="12" t="n"/>
    </row>
    <row r="363">
      <c r="D363" s="12" t="n"/>
      <c r="E363" s="12" t="n"/>
    </row>
    <row r="364">
      <c r="D364" s="12" t="n"/>
      <c r="E364" s="12" t="n"/>
    </row>
    <row r="365">
      <c r="D365" s="12" t="n"/>
      <c r="E365" s="12" t="n"/>
    </row>
    <row r="366">
      <c r="D366" s="12" t="n"/>
      <c r="E366" s="12" t="n"/>
    </row>
    <row r="367">
      <c r="D367" s="12" t="n"/>
      <c r="E367" s="12" t="n"/>
    </row>
    <row r="368">
      <c r="D368" s="12" t="n"/>
      <c r="E368" s="12" t="n"/>
    </row>
    <row r="369">
      <c r="D369" s="12" t="n"/>
      <c r="E369" s="12" t="n"/>
    </row>
    <row r="370">
      <c r="D370" s="12" t="n"/>
      <c r="E370" s="12" t="n"/>
    </row>
    <row r="371">
      <c r="D371" s="12" t="n"/>
      <c r="E371" s="12" t="n"/>
    </row>
    <row r="372">
      <c r="D372" s="12" t="n"/>
      <c r="E372" s="12" t="n"/>
    </row>
    <row r="373">
      <c r="D373" s="12" t="n"/>
      <c r="E373" s="12" t="n"/>
    </row>
    <row r="374">
      <c r="D374" s="12" t="n"/>
      <c r="E374" s="12" t="n"/>
    </row>
    <row r="375">
      <c r="D375" s="12" t="n"/>
      <c r="E375" s="12" t="n"/>
    </row>
    <row r="376">
      <c r="D376" s="12" t="n"/>
      <c r="E376" s="12" t="n"/>
    </row>
    <row r="377">
      <c r="D377" s="12" t="n"/>
      <c r="E377" s="12" t="n"/>
    </row>
    <row r="378">
      <c r="D378" s="12" t="n"/>
      <c r="E378" s="12" t="n"/>
    </row>
    <row r="379">
      <c r="D379" s="12" t="n"/>
      <c r="E379" s="12" t="n"/>
    </row>
    <row r="380">
      <c r="D380" s="12" t="n"/>
      <c r="E380" s="12" t="n"/>
    </row>
    <row r="381">
      <c r="D381" s="12" t="n"/>
      <c r="E381" s="12" t="n"/>
    </row>
    <row r="382">
      <c r="D382" s="12" t="n"/>
      <c r="E382" s="12" t="n"/>
    </row>
    <row r="383">
      <c r="D383" s="12" t="n"/>
      <c r="E383" s="12" t="n"/>
    </row>
    <row r="384">
      <c r="D384" s="12" t="n"/>
      <c r="E384" s="12" t="n"/>
    </row>
    <row r="385">
      <c r="D385" s="12" t="n"/>
      <c r="E385" s="12" t="n"/>
    </row>
    <row r="386">
      <c r="D386" s="12" t="n"/>
      <c r="E386" s="12" t="n"/>
    </row>
    <row r="387">
      <c r="D387" s="12" t="n"/>
      <c r="E387" s="12" t="n"/>
    </row>
    <row r="388">
      <c r="D388" s="12" t="n"/>
      <c r="E388" s="12" t="n"/>
    </row>
    <row r="389">
      <c r="D389" s="12" t="n"/>
      <c r="E389" s="12" t="n"/>
    </row>
    <row r="390">
      <c r="D390" s="12" t="n"/>
      <c r="E390" s="12" t="n"/>
    </row>
    <row r="391">
      <c r="D391" s="12" t="n"/>
      <c r="E391" s="12" t="n"/>
    </row>
    <row r="392">
      <c r="D392" s="12" t="n"/>
      <c r="E392" s="12" t="n"/>
    </row>
    <row r="393">
      <c r="D393" s="12" t="n"/>
      <c r="E393" s="12" t="n"/>
    </row>
    <row r="394">
      <c r="D394" s="12" t="n"/>
      <c r="E394" s="12" t="n"/>
    </row>
    <row r="395">
      <c r="D395" s="12" t="n"/>
      <c r="E395" s="12" t="n"/>
    </row>
    <row r="396">
      <c r="D396" s="12" t="n"/>
      <c r="E396" s="12" t="n"/>
    </row>
    <row r="397">
      <c r="D397" s="12" t="n"/>
      <c r="E397" s="12" t="n"/>
    </row>
    <row r="398">
      <c r="D398" s="12" t="n"/>
      <c r="E398" s="12" t="n"/>
    </row>
    <row r="399">
      <c r="D399" s="12" t="n"/>
      <c r="E399" s="12" t="n"/>
    </row>
    <row r="400">
      <c r="D400" s="12" t="n"/>
      <c r="E400" s="12" t="n"/>
    </row>
    <row r="401">
      <c r="D401" s="12" t="n"/>
      <c r="E401" s="12" t="n"/>
    </row>
    <row r="402">
      <c r="D402" s="12" t="n"/>
      <c r="E402" s="12" t="n"/>
    </row>
    <row r="403">
      <c r="D403" s="12" t="n"/>
      <c r="E403" s="12" t="n"/>
    </row>
    <row r="404">
      <c r="D404" s="12" t="n"/>
      <c r="E404" s="12" t="n"/>
    </row>
    <row r="405">
      <c r="D405" s="12" t="n"/>
      <c r="E405" s="12" t="n"/>
    </row>
    <row r="406">
      <c r="D406" s="12" t="n"/>
      <c r="E406" s="12" t="n"/>
    </row>
    <row r="407">
      <c r="D407" s="12" t="n"/>
      <c r="E407" s="12" t="n"/>
    </row>
    <row r="408">
      <c r="D408" s="12" t="n"/>
      <c r="E408" s="12" t="n"/>
    </row>
    <row r="409">
      <c r="D409" s="12" t="n"/>
      <c r="E409" s="12" t="n"/>
    </row>
    <row r="410">
      <c r="D410" s="12" t="n"/>
      <c r="E410" s="12" t="n"/>
    </row>
    <row r="411">
      <c r="D411" s="12" t="n"/>
      <c r="E411" s="12" t="n"/>
    </row>
    <row r="412">
      <c r="D412" s="12" t="n"/>
      <c r="E412" s="12" t="n"/>
    </row>
    <row r="413">
      <c r="D413" s="12" t="n"/>
      <c r="E413" s="12" t="n"/>
    </row>
    <row r="414">
      <c r="D414" s="12" t="n"/>
      <c r="E414" s="12" t="n"/>
    </row>
    <row r="415">
      <c r="D415" s="12" t="n"/>
      <c r="E415" s="12" t="n"/>
    </row>
    <row r="416">
      <c r="D416" s="12" t="n"/>
      <c r="E416" s="12" t="n"/>
    </row>
    <row r="417">
      <c r="D417" s="12" t="n"/>
      <c r="E417" s="12" t="n"/>
    </row>
    <row r="418">
      <c r="D418" s="12" t="n"/>
      <c r="E418" s="12" t="n"/>
    </row>
    <row r="419">
      <c r="D419" s="12" t="n"/>
      <c r="E419" s="12" t="n"/>
    </row>
    <row r="420">
      <c r="D420" s="12" t="n"/>
      <c r="E420" s="12" t="n"/>
    </row>
    <row r="421">
      <c r="D421" s="12" t="n"/>
      <c r="E421" s="12" t="n"/>
    </row>
    <row r="422">
      <c r="D422" s="12" t="n"/>
      <c r="E422" s="12" t="n"/>
    </row>
    <row r="423">
      <c r="D423" s="12" t="n"/>
      <c r="E423" s="12" t="n"/>
    </row>
    <row r="424">
      <c r="D424" s="12" t="n"/>
      <c r="E424" s="12" t="n"/>
    </row>
    <row r="425">
      <c r="D425" s="12" t="n"/>
      <c r="E425" s="12" t="n"/>
    </row>
    <row r="426">
      <c r="D426" s="12" t="n"/>
      <c r="E426" s="12" t="n"/>
    </row>
    <row r="427">
      <c r="D427" s="12" t="n"/>
      <c r="E427" s="12" t="n"/>
    </row>
    <row r="428">
      <c r="D428" s="12" t="n"/>
      <c r="E428" s="12" t="n"/>
    </row>
    <row r="429">
      <c r="D429" s="12" t="n"/>
      <c r="E429" s="12" t="n"/>
    </row>
    <row r="430">
      <c r="D430" s="12" t="n"/>
      <c r="E430" s="12" t="n"/>
    </row>
    <row r="431">
      <c r="D431" s="12" t="n"/>
      <c r="E431" s="12" t="n"/>
    </row>
    <row r="432">
      <c r="D432" s="12" t="n"/>
      <c r="E432" s="12" t="n"/>
    </row>
    <row r="433">
      <c r="D433" s="12" t="n"/>
      <c r="E433" s="12" t="n"/>
    </row>
    <row r="434">
      <c r="D434" s="12" t="n"/>
      <c r="E434" s="12" t="n"/>
    </row>
    <row r="435">
      <c r="D435" s="12" t="n"/>
      <c r="E435" s="12" t="n"/>
    </row>
    <row r="436">
      <c r="D436" s="12" t="n"/>
      <c r="E436" s="12" t="n"/>
    </row>
    <row r="437">
      <c r="D437" s="12" t="n"/>
      <c r="E437" s="12" t="n"/>
    </row>
    <row r="438">
      <c r="D438" s="12" t="n"/>
      <c r="E438" s="12" t="n"/>
    </row>
    <row r="439">
      <c r="D439" s="12" t="n"/>
      <c r="E439" s="12" t="n"/>
    </row>
    <row r="440">
      <c r="D440" s="12" t="n"/>
      <c r="E440" s="12" t="n"/>
    </row>
    <row r="441">
      <c r="D441" s="12" t="n"/>
      <c r="E441" s="12" t="n"/>
    </row>
    <row r="442">
      <c r="D442" s="12" t="n"/>
      <c r="E442" s="12" t="n"/>
    </row>
    <row r="443">
      <c r="D443" s="12" t="n"/>
      <c r="E443" s="12" t="n"/>
    </row>
    <row r="444">
      <c r="D444" s="12" t="n"/>
      <c r="E444" s="12" t="n"/>
    </row>
    <row r="445">
      <c r="D445" s="12" t="n"/>
      <c r="E445" s="12" t="n"/>
    </row>
    <row r="446">
      <c r="D446" s="12" t="n"/>
      <c r="E446" s="12" t="n"/>
    </row>
    <row r="447">
      <c r="D447" s="12" t="n"/>
      <c r="E447" s="12" t="n"/>
    </row>
    <row r="448">
      <c r="D448" s="12" t="n"/>
      <c r="E448" s="12" t="n"/>
    </row>
    <row r="449">
      <c r="D449" s="12" t="n"/>
      <c r="E449" s="12" t="n"/>
    </row>
    <row r="450">
      <c r="D450" s="12" t="n"/>
      <c r="E450" s="12" t="n"/>
    </row>
    <row r="451">
      <c r="D451" s="12" t="n"/>
      <c r="E451" s="12" t="n"/>
    </row>
    <row r="452">
      <c r="D452" s="12" t="n"/>
      <c r="E452" s="12" t="n"/>
    </row>
    <row r="453">
      <c r="D453" s="12" t="n"/>
      <c r="E453" s="12" t="n"/>
    </row>
    <row r="454">
      <c r="D454" s="12" t="n"/>
      <c r="E454" s="12" t="n"/>
    </row>
    <row r="455">
      <c r="D455" s="12" t="n"/>
      <c r="E455" s="12" t="n"/>
    </row>
    <row r="456">
      <c r="D456" s="12" t="n"/>
      <c r="E456" s="12" t="n"/>
    </row>
    <row r="457">
      <c r="D457" s="12" t="n"/>
      <c r="E457" s="12" t="n"/>
    </row>
    <row r="458">
      <c r="D458" s="12" t="n"/>
      <c r="E458" s="12" t="n"/>
    </row>
    <row r="459">
      <c r="D459" s="12" t="n"/>
      <c r="E459" s="12" t="n"/>
    </row>
    <row r="460">
      <c r="D460" s="12" t="n"/>
      <c r="E460" s="12" t="n"/>
    </row>
    <row r="461">
      <c r="D461" s="12" t="n"/>
      <c r="E461" s="12" t="n"/>
    </row>
    <row r="462">
      <c r="D462" s="12" t="n"/>
      <c r="E462" s="12" t="n"/>
    </row>
    <row r="463">
      <c r="D463" s="12" t="n"/>
      <c r="E463" s="12" t="n"/>
    </row>
    <row r="464">
      <c r="D464" s="12" t="n"/>
      <c r="E464" s="12" t="n"/>
    </row>
    <row r="465">
      <c r="D465" s="12" t="n"/>
      <c r="E465" s="12" t="n"/>
    </row>
    <row r="466">
      <c r="D466" s="12" t="n"/>
      <c r="E466" s="12" t="n"/>
    </row>
    <row r="467">
      <c r="D467" s="12" t="n"/>
      <c r="E467" s="12" t="n"/>
    </row>
    <row r="468">
      <c r="D468" s="12" t="n"/>
      <c r="E468" s="12" t="n"/>
    </row>
    <row r="469">
      <c r="D469" s="12" t="n"/>
      <c r="E469" s="12" t="n"/>
    </row>
    <row r="470">
      <c r="D470" s="12" t="n"/>
      <c r="E470" s="12" t="n"/>
    </row>
    <row r="471">
      <c r="D471" s="12" t="n"/>
      <c r="E471" s="12" t="n"/>
    </row>
    <row r="472">
      <c r="D472" s="12" t="n"/>
      <c r="E472" s="12" t="n"/>
    </row>
    <row r="473">
      <c r="D473" s="12" t="n"/>
      <c r="E473" s="12" t="n"/>
    </row>
    <row r="474">
      <c r="D474" s="12" t="n"/>
      <c r="E474" s="12" t="n"/>
    </row>
    <row r="475">
      <c r="D475" s="12" t="n"/>
      <c r="E475" s="12" t="n"/>
    </row>
    <row r="476">
      <c r="D476" s="12" t="n"/>
      <c r="E476" s="12" t="n"/>
    </row>
    <row r="477">
      <c r="D477" s="12" t="n"/>
      <c r="E477" s="12" t="n"/>
    </row>
    <row r="478">
      <c r="D478" s="12" t="n"/>
      <c r="E478" s="12" t="n"/>
    </row>
    <row r="479">
      <c r="D479" s="12" t="n"/>
      <c r="E479" s="12" t="n"/>
    </row>
    <row r="480">
      <c r="D480" s="12" t="n"/>
      <c r="E480" s="12" t="n"/>
    </row>
    <row r="481">
      <c r="D481" s="12" t="n"/>
      <c r="E481" s="12" t="n"/>
    </row>
    <row r="482">
      <c r="D482" s="12" t="n"/>
      <c r="E482" s="12" t="n"/>
    </row>
    <row r="483">
      <c r="D483" s="12" t="n"/>
      <c r="E483" s="12" t="n"/>
    </row>
    <row r="484">
      <c r="D484" s="12" t="n"/>
      <c r="E484" s="12" t="n"/>
    </row>
    <row r="485">
      <c r="D485" s="12" t="n"/>
      <c r="E485" s="12" t="n"/>
    </row>
    <row r="486">
      <c r="D486" s="12" t="n"/>
      <c r="E486" s="12" t="n"/>
    </row>
    <row r="487">
      <c r="D487" s="12" t="n"/>
      <c r="E487" s="12" t="n"/>
    </row>
    <row r="488">
      <c r="D488" s="12" t="n"/>
      <c r="E488" s="12" t="n"/>
    </row>
    <row r="489">
      <c r="D489" s="12" t="n"/>
      <c r="E489" s="12" t="n"/>
    </row>
    <row r="490">
      <c r="D490" s="12" t="n"/>
      <c r="E490" s="12" t="n"/>
    </row>
    <row r="491">
      <c r="D491" s="12" t="n"/>
      <c r="E491" s="12" t="n"/>
    </row>
    <row r="492">
      <c r="D492" s="12" t="n"/>
      <c r="E492" s="12" t="n"/>
    </row>
    <row r="493">
      <c r="D493" s="12" t="n"/>
      <c r="E493" s="12" t="n"/>
    </row>
    <row r="494">
      <c r="D494" s="12" t="n"/>
      <c r="E494" s="12" t="n"/>
    </row>
    <row r="495">
      <c r="D495" s="12" t="n"/>
      <c r="E495" s="12" t="n"/>
    </row>
    <row r="496">
      <c r="D496" s="12" t="n"/>
      <c r="E496" s="12" t="n"/>
    </row>
    <row r="497">
      <c r="D497" s="12" t="n"/>
      <c r="E497" s="12" t="n"/>
    </row>
    <row r="498">
      <c r="D498" s="12" t="n"/>
      <c r="E498" s="12" t="n"/>
    </row>
    <row r="499">
      <c r="D499" s="12" t="n"/>
      <c r="E499" s="12" t="n"/>
    </row>
    <row r="500">
      <c r="D500" s="12" t="n"/>
      <c r="E500" s="12" t="n"/>
    </row>
    <row r="501">
      <c r="D501" s="12" t="n"/>
      <c r="E501" s="12" t="n"/>
    </row>
    <row r="502">
      <c r="D502" s="12" t="n"/>
      <c r="E502" s="12" t="n"/>
    </row>
    <row r="503">
      <c r="D503" s="12" t="n"/>
      <c r="E503" s="12" t="n"/>
    </row>
    <row r="504">
      <c r="D504" s="12" t="n"/>
      <c r="E504" s="12" t="n"/>
    </row>
    <row r="505">
      <c r="D505" s="12" t="n"/>
      <c r="E505" s="12" t="n"/>
    </row>
    <row r="506">
      <c r="D506" s="12" t="n"/>
      <c r="E506" s="12" t="n"/>
    </row>
    <row r="507">
      <c r="D507" s="12" t="n"/>
      <c r="E507" s="12" t="n"/>
    </row>
    <row r="508">
      <c r="D508" s="12" t="n"/>
      <c r="E508" s="12" t="n"/>
    </row>
    <row r="509">
      <c r="D509" s="12" t="n"/>
      <c r="E509" s="12" t="n"/>
    </row>
    <row r="510">
      <c r="D510" s="12" t="n"/>
      <c r="E510" s="12" t="n"/>
    </row>
    <row r="511">
      <c r="D511" s="12" t="n"/>
      <c r="E511" s="12" t="n"/>
    </row>
    <row r="512">
      <c r="D512" s="12" t="n"/>
      <c r="E512" s="12" t="n"/>
    </row>
    <row r="513">
      <c r="D513" s="12" t="n"/>
      <c r="E513" s="12" t="n"/>
    </row>
    <row r="514">
      <c r="D514" s="12" t="n"/>
      <c r="E514" s="12" t="n"/>
    </row>
    <row r="515">
      <c r="D515" s="12" t="n"/>
      <c r="E515" s="12" t="n"/>
    </row>
    <row r="516">
      <c r="D516" s="12" t="n"/>
      <c r="E516" s="12" t="n"/>
    </row>
    <row r="517">
      <c r="D517" s="12" t="n"/>
      <c r="E517" s="12" t="n"/>
    </row>
    <row r="518">
      <c r="D518" s="12" t="n"/>
      <c r="E518" s="12" t="n"/>
    </row>
    <row r="519">
      <c r="D519" s="12" t="n"/>
      <c r="E519" s="12" t="n"/>
    </row>
    <row r="520">
      <c r="D520" s="12" t="n"/>
      <c r="E520" s="12" t="n"/>
    </row>
    <row r="521">
      <c r="D521" s="12" t="n"/>
      <c r="E521" s="12" t="n"/>
    </row>
    <row r="522">
      <c r="D522" s="12" t="n"/>
      <c r="E522" s="12" t="n"/>
    </row>
    <row r="523">
      <c r="D523" s="12" t="n"/>
      <c r="E523" s="12" t="n"/>
    </row>
    <row r="524">
      <c r="D524" s="12" t="n"/>
      <c r="E524" s="12" t="n"/>
    </row>
    <row r="525">
      <c r="D525" s="12" t="n"/>
      <c r="E525" s="12" t="n"/>
    </row>
    <row r="526">
      <c r="D526" s="12" t="n"/>
      <c r="E526" s="12" t="n"/>
    </row>
    <row r="527">
      <c r="D527" s="12" t="n"/>
      <c r="E527" s="12" t="n"/>
    </row>
    <row r="528">
      <c r="D528" s="12" t="n"/>
      <c r="E528" s="12" t="n"/>
    </row>
    <row r="529">
      <c r="D529" s="12" t="n"/>
      <c r="E529" s="12" t="n"/>
    </row>
    <row r="530">
      <c r="D530" s="12" t="n"/>
      <c r="E530" s="12" t="n"/>
    </row>
    <row r="531">
      <c r="D531" s="12" t="n"/>
      <c r="E531" s="12" t="n"/>
    </row>
    <row r="532">
      <c r="D532" s="12" t="n"/>
      <c r="E532" s="12" t="n"/>
    </row>
    <row r="533">
      <c r="D533" s="12" t="n"/>
      <c r="E533" s="12" t="n"/>
    </row>
    <row r="534">
      <c r="D534" s="12" t="n"/>
      <c r="E534" s="12" t="n"/>
    </row>
    <row r="535">
      <c r="D535" s="12" t="n"/>
      <c r="E535" s="12" t="n"/>
    </row>
    <row r="536">
      <c r="D536" s="12" t="n"/>
      <c r="E536" s="12" t="n"/>
    </row>
    <row r="537">
      <c r="D537" s="12" t="n"/>
      <c r="E537" s="12" t="n"/>
    </row>
    <row r="538">
      <c r="D538" s="12" t="n"/>
      <c r="E538" s="12" t="n"/>
    </row>
    <row r="539">
      <c r="D539" s="12" t="n"/>
      <c r="E539" s="12" t="n"/>
    </row>
    <row r="540">
      <c r="D540" s="12" t="n"/>
      <c r="E540" s="12" t="n"/>
    </row>
    <row r="541">
      <c r="D541" s="12" t="n"/>
      <c r="E541" s="12" t="n"/>
    </row>
    <row r="542">
      <c r="D542" s="12" t="n"/>
      <c r="E542" s="12" t="n"/>
    </row>
    <row r="543">
      <c r="D543" s="12" t="n"/>
      <c r="E543" s="12" t="n"/>
    </row>
    <row r="544">
      <c r="D544" s="12" t="n"/>
      <c r="E544" s="12" t="n"/>
    </row>
    <row r="545">
      <c r="D545" s="12" t="n"/>
      <c r="E545" s="12" t="n"/>
    </row>
    <row r="546">
      <c r="D546" s="12" t="n"/>
      <c r="E546" s="12" t="n"/>
    </row>
    <row r="547">
      <c r="D547" s="12" t="n"/>
      <c r="E547" s="12" t="n"/>
    </row>
    <row r="548">
      <c r="D548" s="12" t="n"/>
      <c r="E548" s="12" t="n"/>
    </row>
    <row r="549">
      <c r="D549" s="12" t="n"/>
      <c r="E549" s="12" t="n"/>
    </row>
    <row r="550">
      <c r="D550" s="12" t="n"/>
      <c r="E550" s="12" t="n"/>
    </row>
    <row r="551">
      <c r="D551" s="12" t="n"/>
      <c r="E551" s="12" t="n"/>
    </row>
    <row r="552">
      <c r="D552" s="12" t="n"/>
      <c r="E552" s="12" t="n"/>
    </row>
    <row r="553">
      <c r="D553" s="12" t="n"/>
      <c r="E553" s="12" t="n"/>
    </row>
    <row r="554">
      <c r="D554" s="12" t="n"/>
      <c r="E554" s="12" t="n"/>
    </row>
    <row r="555">
      <c r="D555" s="12" t="n"/>
      <c r="E555" s="12" t="n"/>
    </row>
    <row r="556">
      <c r="D556" s="12" t="n"/>
      <c r="E556" s="12" t="n"/>
    </row>
    <row r="557">
      <c r="D557" s="12" t="n"/>
      <c r="E557" s="12" t="n"/>
    </row>
    <row r="558">
      <c r="D558" s="12" t="n"/>
      <c r="E558" s="12" t="n"/>
    </row>
    <row r="559">
      <c r="D559" s="12" t="n"/>
      <c r="E559" s="12" t="n"/>
    </row>
    <row r="560">
      <c r="D560" s="12" t="n"/>
      <c r="E560" s="12" t="n"/>
    </row>
    <row r="561">
      <c r="D561" s="12" t="n"/>
      <c r="E561" s="12" t="n"/>
    </row>
    <row r="562">
      <c r="D562" s="12" t="n"/>
      <c r="E562" s="12" t="n"/>
    </row>
    <row r="563">
      <c r="D563" s="12" t="n"/>
      <c r="E563" s="12" t="n"/>
    </row>
    <row r="564">
      <c r="D564" s="12" t="n"/>
      <c r="E564" s="12" t="n"/>
    </row>
    <row r="565">
      <c r="D565" s="12" t="n"/>
      <c r="E565" s="12" t="n"/>
    </row>
    <row r="566">
      <c r="D566" s="12" t="n"/>
      <c r="E566" s="12" t="n"/>
    </row>
    <row r="567">
      <c r="D567" s="12" t="n"/>
      <c r="E567" s="12" t="n"/>
    </row>
    <row r="568">
      <c r="D568" s="12" t="n"/>
      <c r="E568" s="12" t="n"/>
    </row>
    <row r="569">
      <c r="D569" s="12" t="n"/>
      <c r="E569" s="12" t="n"/>
    </row>
    <row r="570">
      <c r="D570" s="12" t="n"/>
      <c r="E570" s="12" t="n"/>
    </row>
    <row r="571">
      <c r="D571" s="12" t="n"/>
      <c r="E571" s="12" t="n"/>
    </row>
    <row r="572">
      <c r="D572" s="12" t="n"/>
      <c r="E572" s="12" t="n"/>
    </row>
    <row r="573">
      <c r="D573" s="12" t="n"/>
      <c r="E573" s="12" t="n"/>
    </row>
    <row r="574">
      <c r="D574" s="12" t="n"/>
      <c r="E574" s="12" t="n"/>
    </row>
    <row r="575">
      <c r="D575" s="12" t="n"/>
      <c r="E575" s="12" t="n"/>
    </row>
    <row r="576">
      <c r="D576" s="12" t="n"/>
      <c r="E576" s="12" t="n"/>
    </row>
    <row r="577">
      <c r="D577" s="12" t="n"/>
      <c r="E577" s="12" t="n"/>
    </row>
    <row r="578">
      <c r="D578" s="12" t="n"/>
      <c r="E578" s="12" t="n"/>
    </row>
    <row r="579">
      <c r="D579" s="12" t="n"/>
      <c r="E579" s="12" t="n"/>
    </row>
    <row r="580">
      <c r="D580" s="12" t="n"/>
      <c r="E580" s="12" t="n"/>
    </row>
    <row r="581">
      <c r="D581" s="12" t="n"/>
      <c r="E581" s="12" t="n"/>
    </row>
    <row r="582">
      <c r="D582" s="12" t="n"/>
      <c r="E582" s="12" t="n"/>
    </row>
    <row r="583">
      <c r="D583" s="12" t="n"/>
      <c r="E583" s="12" t="n"/>
    </row>
    <row r="584">
      <c r="D584" s="12" t="n"/>
      <c r="E584" s="12" t="n"/>
    </row>
    <row r="585">
      <c r="D585" s="12" t="n"/>
      <c r="E585" s="12" t="n"/>
    </row>
    <row r="586">
      <c r="D586" s="12" t="n"/>
      <c r="E586" s="12" t="n"/>
    </row>
    <row r="587">
      <c r="D587" s="12" t="n"/>
      <c r="E587" s="12" t="n"/>
    </row>
    <row r="588">
      <c r="D588" s="12" t="n"/>
      <c r="E588" s="12" t="n"/>
    </row>
    <row r="589">
      <c r="D589" s="12" t="n"/>
      <c r="E589" s="12" t="n"/>
    </row>
    <row r="590">
      <c r="D590" s="12" t="n"/>
      <c r="E590" s="12" t="n"/>
    </row>
    <row r="591">
      <c r="D591" s="12" t="n"/>
      <c r="E591" s="12" t="n"/>
    </row>
    <row r="592">
      <c r="D592" s="12" t="n"/>
      <c r="E592" s="12" t="n"/>
    </row>
    <row r="593">
      <c r="D593" s="12" t="n"/>
      <c r="E593" s="12" t="n"/>
    </row>
    <row r="594">
      <c r="D594" s="12" t="n"/>
      <c r="E594" s="12" t="n"/>
    </row>
    <row r="595">
      <c r="D595" s="12" t="n"/>
      <c r="E595" s="12" t="n"/>
    </row>
    <row r="596">
      <c r="D596" s="12" t="n"/>
      <c r="E596" s="12" t="n"/>
    </row>
    <row r="597">
      <c r="D597" s="12" t="n"/>
      <c r="E597" s="12" t="n"/>
    </row>
    <row r="598">
      <c r="D598" s="12" t="n"/>
      <c r="E598" s="12" t="n"/>
    </row>
    <row r="599">
      <c r="D599" s="12" t="n"/>
      <c r="E599" s="12" t="n"/>
    </row>
    <row r="600">
      <c r="D600" s="12" t="n"/>
      <c r="E600" s="12" t="n"/>
    </row>
    <row r="601">
      <c r="D601" s="12" t="n"/>
      <c r="E601" s="12" t="n"/>
    </row>
    <row r="602">
      <c r="D602" s="12" t="n"/>
      <c r="E602" s="12" t="n"/>
    </row>
    <row r="603">
      <c r="D603" s="12" t="n"/>
      <c r="E603" s="12" t="n"/>
    </row>
    <row r="604">
      <c r="D604" s="12" t="n"/>
      <c r="E604" s="12" t="n"/>
    </row>
    <row r="605">
      <c r="D605" s="12" t="n"/>
      <c r="E605" s="12" t="n"/>
    </row>
    <row r="606">
      <c r="D606" s="12" t="n"/>
      <c r="E606" s="12" t="n"/>
    </row>
    <row r="607">
      <c r="D607" s="12" t="n"/>
      <c r="E607" s="12" t="n"/>
    </row>
    <row r="608">
      <c r="D608" s="12" t="n"/>
      <c r="E608" s="12" t="n"/>
    </row>
    <row r="609">
      <c r="D609" s="12" t="n"/>
      <c r="E609" s="12" t="n"/>
    </row>
    <row r="610">
      <c r="D610" s="12" t="n"/>
      <c r="E610" s="12" t="n"/>
    </row>
    <row r="611">
      <c r="D611" s="12" t="n"/>
      <c r="E611" s="12" t="n"/>
    </row>
    <row r="612">
      <c r="D612" s="12" t="n"/>
      <c r="E612" s="12" t="n"/>
    </row>
    <row r="613">
      <c r="D613" s="12" t="n"/>
      <c r="E613" s="12" t="n"/>
    </row>
    <row r="614">
      <c r="D614" s="12" t="n"/>
      <c r="E614" s="12" t="n"/>
    </row>
    <row r="615">
      <c r="D615" s="12" t="n"/>
      <c r="E615" s="12" t="n"/>
    </row>
    <row r="616">
      <c r="D616" s="12" t="n"/>
      <c r="E616" s="12" t="n"/>
    </row>
    <row r="617">
      <c r="D617" s="12" t="n"/>
      <c r="E617" s="12" t="n"/>
    </row>
    <row r="618">
      <c r="D618" s="12" t="n"/>
      <c r="E618" s="12" t="n"/>
    </row>
    <row r="619">
      <c r="D619" s="12" t="n"/>
      <c r="E619" s="12" t="n"/>
    </row>
    <row r="620">
      <c r="D620" s="12" t="n"/>
      <c r="E620" s="12" t="n"/>
    </row>
    <row r="621">
      <c r="D621" s="12" t="n"/>
      <c r="E621" s="12" t="n"/>
    </row>
    <row r="622">
      <c r="D622" s="12" t="n"/>
      <c r="E622" s="12" t="n"/>
    </row>
    <row r="623">
      <c r="D623" s="12" t="n"/>
      <c r="E623" s="12" t="n"/>
    </row>
    <row r="624">
      <c r="D624" s="12" t="n"/>
      <c r="E624" s="12" t="n"/>
    </row>
    <row r="625">
      <c r="D625" s="12" t="n"/>
      <c r="E625" s="12" t="n"/>
    </row>
    <row r="626">
      <c r="D626" s="12" t="n"/>
      <c r="E626" s="12" t="n"/>
    </row>
    <row r="627">
      <c r="D627" s="12" t="n"/>
      <c r="E627" s="12" t="n"/>
    </row>
    <row r="628">
      <c r="D628" s="12" t="n"/>
      <c r="E628" s="12" t="n"/>
    </row>
    <row r="629">
      <c r="D629" s="12" t="n"/>
      <c r="E629" s="12" t="n"/>
    </row>
    <row r="630">
      <c r="D630" s="12" t="n"/>
      <c r="E630" s="12" t="n"/>
    </row>
    <row r="631">
      <c r="D631" s="12" t="n"/>
      <c r="E631" s="12" t="n"/>
    </row>
    <row r="632">
      <c r="D632" s="12" t="n"/>
      <c r="E632" s="12" t="n"/>
    </row>
    <row r="633">
      <c r="D633" s="12" t="n"/>
      <c r="E633" s="12" t="n"/>
    </row>
    <row r="634">
      <c r="D634" s="12" t="n"/>
      <c r="E634" s="12" t="n"/>
    </row>
    <row r="635">
      <c r="D635" s="12" t="n"/>
      <c r="E635" s="12" t="n"/>
    </row>
    <row r="636">
      <c r="D636" s="12" t="n"/>
      <c r="E636" s="12" t="n"/>
    </row>
    <row r="637">
      <c r="D637" s="12" t="n"/>
      <c r="E637" s="12" t="n"/>
    </row>
    <row r="638">
      <c r="D638" s="12" t="n"/>
      <c r="E638" s="12" t="n"/>
    </row>
    <row r="639">
      <c r="D639" s="12" t="n"/>
      <c r="E639" s="12" t="n"/>
    </row>
    <row r="640">
      <c r="D640" s="12" t="n"/>
      <c r="E640" s="12" t="n"/>
    </row>
    <row r="641">
      <c r="D641" s="12" t="n"/>
      <c r="E641" s="12" t="n"/>
    </row>
    <row r="642">
      <c r="D642" s="12" t="n"/>
      <c r="E642" s="12" t="n"/>
    </row>
    <row r="643">
      <c r="D643" s="12" t="n"/>
      <c r="E643" s="12" t="n"/>
    </row>
    <row r="644">
      <c r="D644" s="12" t="n"/>
      <c r="E644" s="12" t="n"/>
    </row>
    <row r="645">
      <c r="D645" s="12" t="n"/>
      <c r="E645" s="12" t="n"/>
    </row>
    <row r="646">
      <c r="D646" s="12" t="n"/>
      <c r="E646" s="12" t="n"/>
    </row>
    <row r="647">
      <c r="D647" s="12" t="n"/>
      <c r="E647" s="12" t="n"/>
    </row>
    <row r="648">
      <c r="D648" s="12" t="n"/>
      <c r="E648" s="12" t="n"/>
    </row>
    <row r="649">
      <c r="D649" s="12" t="n"/>
      <c r="E649" s="12" t="n"/>
    </row>
    <row r="650">
      <c r="D650" s="12" t="n"/>
      <c r="E650" s="12" t="n"/>
    </row>
    <row r="651">
      <c r="D651" s="12" t="n"/>
      <c r="E651" s="12" t="n"/>
    </row>
    <row r="652">
      <c r="D652" s="12" t="n"/>
      <c r="E652" s="12" t="n"/>
    </row>
    <row r="653">
      <c r="D653" s="12" t="n"/>
      <c r="E653" s="12" t="n"/>
    </row>
    <row r="654">
      <c r="D654" s="12" t="n"/>
      <c r="E654" s="12" t="n"/>
    </row>
    <row r="655">
      <c r="D655" s="12" t="n"/>
      <c r="E655" s="12" t="n"/>
    </row>
    <row r="656">
      <c r="D656" s="12" t="n"/>
      <c r="E656" s="12" t="n"/>
    </row>
    <row r="657">
      <c r="D657" s="12" t="n"/>
      <c r="E657" s="12" t="n"/>
    </row>
    <row r="658">
      <c r="D658" s="12" t="n"/>
      <c r="E658" s="12" t="n"/>
    </row>
    <row r="659">
      <c r="D659" s="12" t="n"/>
      <c r="E659" s="12" t="n"/>
    </row>
    <row r="660">
      <c r="D660" s="12" t="n"/>
      <c r="E660" s="12" t="n"/>
    </row>
    <row r="661">
      <c r="D661" s="12" t="n"/>
      <c r="E661" s="12" t="n"/>
    </row>
    <row r="662">
      <c r="D662" s="12" t="n"/>
      <c r="E662" s="12" t="n"/>
    </row>
    <row r="663">
      <c r="D663" s="12" t="n"/>
      <c r="E663" s="12" t="n"/>
    </row>
    <row r="664">
      <c r="D664" s="12" t="n"/>
      <c r="E664" s="12" t="n"/>
    </row>
    <row r="665">
      <c r="D665" s="12" t="n"/>
      <c r="E665" s="12" t="n"/>
    </row>
    <row r="666">
      <c r="D666" s="12" t="n"/>
      <c r="E666" s="12" t="n"/>
    </row>
    <row r="667">
      <c r="D667" s="12" t="n"/>
      <c r="E667" s="12" t="n"/>
    </row>
    <row r="668">
      <c r="D668" s="12" t="n"/>
      <c r="E668" s="12" t="n"/>
    </row>
    <row r="669">
      <c r="D669" s="12" t="n"/>
      <c r="E669" s="12" t="n"/>
    </row>
    <row r="670">
      <c r="D670" s="12" t="n"/>
      <c r="E670" s="12" t="n"/>
    </row>
    <row r="671">
      <c r="D671" s="12" t="n"/>
      <c r="E671" s="12" t="n"/>
    </row>
    <row r="672">
      <c r="D672" s="12" t="n"/>
      <c r="E672" s="12" t="n"/>
    </row>
    <row r="673">
      <c r="D673" s="12" t="n"/>
      <c r="E673" s="12" t="n"/>
    </row>
    <row r="674">
      <c r="D674" s="12" t="n"/>
      <c r="E674" s="12" t="n"/>
    </row>
    <row r="675">
      <c r="D675" s="12" t="n"/>
      <c r="E675" s="12" t="n"/>
    </row>
    <row r="676">
      <c r="D676" s="12" t="n"/>
      <c r="E676" s="12" t="n"/>
    </row>
    <row r="677">
      <c r="D677" s="12" t="n"/>
      <c r="E677" s="12" t="n"/>
    </row>
    <row r="678">
      <c r="D678" s="12" t="n"/>
      <c r="E678" s="12" t="n"/>
    </row>
    <row r="679">
      <c r="D679" s="12" t="n"/>
      <c r="E679" s="12" t="n"/>
    </row>
    <row r="680">
      <c r="D680" s="12" t="n"/>
      <c r="E680" s="12" t="n"/>
    </row>
    <row r="681">
      <c r="D681" s="12" t="n"/>
      <c r="E681" s="12" t="n"/>
    </row>
    <row r="682">
      <c r="D682" s="12" t="n"/>
      <c r="E682" s="12" t="n"/>
    </row>
    <row r="683">
      <c r="D683" s="12" t="n"/>
      <c r="E683" s="12" t="n"/>
    </row>
    <row r="684">
      <c r="D684" s="12" t="n"/>
      <c r="E684" s="12" t="n"/>
    </row>
    <row r="685">
      <c r="D685" s="12" t="n"/>
      <c r="E685" s="12" t="n"/>
    </row>
    <row r="686">
      <c r="D686" s="12" t="n"/>
      <c r="E686" s="12" t="n"/>
    </row>
    <row r="687">
      <c r="D687" s="12" t="n"/>
      <c r="E687" s="12" t="n"/>
    </row>
    <row r="688">
      <c r="D688" s="12" t="n"/>
      <c r="E688" s="12" t="n"/>
    </row>
    <row r="689">
      <c r="D689" s="12" t="n"/>
      <c r="E689" s="12" t="n"/>
    </row>
    <row r="690">
      <c r="D690" s="12" t="n"/>
      <c r="E690" s="12" t="n"/>
    </row>
    <row r="691">
      <c r="D691" s="12" t="n"/>
      <c r="E691" s="12" t="n"/>
    </row>
    <row r="692">
      <c r="D692" s="12" t="n"/>
      <c r="E692" s="12" t="n"/>
    </row>
    <row r="693">
      <c r="D693" s="12" t="n"/>
      <c r="E693" s="12" t="n"/>
    </row>
    <row r="694">
      <c r="D694" s="12" t="n"/>
      <c r="E694" s="12" t="n"/>
    </row>
    <row r="695">
      <c r="D695" s="12" t="n"/>
      <c r="E695" s="12" t="n"/>
    </row>
    <row r="696">
      <c r="D696" s="12" t="n"/>
      <c r="E696" s="12" t="n"/>
    </row>
    <row r="697">
      <c r="D697" s="12" t="n"/>
      <c r="E697" s="12" t="n"/>
    </row>
    <row r="698">
      <c r="D698" s="12" t="n"/>
      <c r="E698" s="12" t="n"/>
    </row>
    <row r="699">
      <c r="D699" s="12" t="n"/>
      <c r="E699" s="12" t="n"/>
    </row>
    <row r="700">
      <c r="D700" s="12" t="n"/>
      <c r="E700" s="12" t="n"/>
    </row>
    <row r="701">
      <c r="D701" s="12" t="n"/>
      <c r="E701" s="12" t="n"/>
    </row>
    <row r="702">
      <c r="D702" s="12" t="n"/>
      <c r="E702" s="12" t="n"/>
    </row>
    <row r="703">
      <c r="D703" s="12" t="n"/>
      <c r="E703" s="12" t="n"/>
    </row>
    <row r="704">
      <c r="D704" s="12" t="n"/>
      <c r="E704" s="12" t="n"/>
    </row>
    <row r="705">
      <c r="D705" s="12" t="n"/>
      <c r="E705" s="12" t="n"/>
    </row>
    <row r="706">
      <c r="D706" s="12" t="n"/>
      <c r="E706" s="12" t="n"/>
    </row>
    <row r="707">
      <c r="D707" s="12" t="n"/>
      <c r="E707" s="12" t="n"/>
    </row>
    <row r="708">
      <c r="D708" s="12" t="n"/>
      <c r="E708" s="12" t="n"/>
    </row>
    <row r="709">
      <c r="D709" s="12" t="n"/>
      <c r="E709" s="12" t="n"/>
    </row>
    <row r="710">
      <c r="D710" s="12" t="n"/>
      <c r="E710" s="12" t="n"/>
    </row>
    <row r="711">
      <c r="D711" s="12" t="n"/>
      <c r="E711" s="12" t="n"/>
    </row>
    <row r="712">
      <c r="D712" s="12" t="n"/>
      <c r="E712" s="12" t="n"/>
    </row>
    <row r="713">
      <c r="D713" s="12" t="n"/>
      <c r="E713" s="12" t="n"/>
    </row>
    <row r="714">
      <c r="D714" s="12" t="n"/>
      <c r="E714" s="12" t="n"/>
    </row>
    <row r="715">
      <c r="D715" s="12" t="n"/>
      <c r="E715" s="12" t="n"/>
    </row>
    <row r="716">
      <c r="D716" s="12" t="n"/>
      <c r="E716" s="12" t="n"/>
    </row>
    <row r="717">
      <c r="D717" s="12" t="n"/>
      <c r="E717" s="12" t="n"/>
    </row>
    <row r="718">
      <c r="D718" s="12" t="n"/>
      <c r="E718" s="12" t="n"/>
    </row>
    <row r="719">
      <c r="D719" s="12" t="n"/>
      <c r="E719" s="12" t="n"/>
    </row>
    <row r="720">
      <c r="D720" s="12" t="n"/>
      <c r="E720" s="12" t="n"/>
    </row>
    <row r="721">
      <c r="D721" s="12" t="n"/>
      <c r="E721" s="12" t="n"/>
    </row>
    <row r="722">
      <c r="D722" s="12" t="n"/>
      <c r="E722" s="12" t="n"/>
    </row>
    <row r="723">
      <c r="D723" s="12" t="n"/>
      <c r="E723" s="12" t="n"/>
    </row>
    <row r="724">
      <c r="D724" s="12" t="n"/>
      <c r="E724" s="12" t="n"/>
    </row>
    <row r="725">
      <c r="D725" s="12" t="n"/>
      <c r="E725" s="12" t="n"/>
    </row>
    <row r="726">
      <c r="D726" s="12" t="n"/>
      <c r="E726" s="12" t="n"/>
    </row>
    <row r="727">
      <c r="D727" s="12" t="n"/>
      <c r="E727" s="12" t="n"/>
    </row>
    <row r="728">
      <c r="D728" s="12" t="n"/>
      <c r="E728" s="12" t="n"/>
    </row>
    <row r="729">
      <c r="D729" s="12" t="n"/>
      <c r="E729" s="12" t="n"/>
    </row>
    <row r="730">
      <c r="D730" s="12" t="n"/>
      <c r="E730" s="12" t="n"/>
    </row>
    <row r="731">
      <c r="D731" s="12" t="n"/>
      <c r="E731" s="12" t="n"/>
    </row>
    <row r="732">
      <c r="D732" s="12" t="n"/>
      <c r="E732" s="12" t="n"/>
    </row>
    <row r="733">
      <c r="D733" s="12" t="n"/>
      <c r="E733" s="12" t="n"/>
    </row>
    <row r="734">
      <c r="D734" s="12" t="n"/>
      <c r="E734" s="12" t="n"/>
    </row>
    <row r="735">
      <c r="D735" s="12" t="n"/>
      <c r="E735" s="12" t="n"/>
    </row>
    <row r="736">
      <c r="D736" s="12" t="n"/>
      <c r="E736" s="12" t="n"/>
    </row>
    <row r="737">
      <c r="D737" s="12" t="n"/>
      <c r="E737" s="12" t="n"/>
    </row>
    <row r="738">
      <c r="D738" s="12" t="n"/>
      <c r="E738" s="12" t="n"/>
    </row>
    <row r="739">
      <c r="D739" s="12" t="n"/>
      <c r="E739" s="12" t="n"/>
    </row>
    <row r="740">
      <c r="D740" s="12" t="n"/>
      <c r="E740" s="12" t="n"/>
    </row>
    <row r="741">
      <c r="D741" s="12" t="n"/>
      <c r="E741" s="12" t="n"/>
    </row>
    <row r="742">
      <c r="D742" s="12" t="n"/>
      <c r="E742" s="12" t="n"/>
    </row>
    <row r="743">
      <c r="D743" s="12" t="n"/>
      <c r="E743" s="12" t="n"/>
    </row>
    <row r="744">
      <c r="D744" s="12" t="n"/>
      <c r="E744" s="12" t="n"/>
    </row>
    <row r="745">
      <c r="D745" s="12" t="n"/>
      <c r="E745" s="12" t="n"/>
    </row>
    <row r="746">
      <c r="D746" s="12" t="n"/>
      <c r="E746" s="12" t="n"/>
    </row>
    <row r="747">
      <c r="D747" s="12" t="n"/>
      <c r="E747" s="12" t="n"/>
    </row>
    <row r="748">
      <c r="D748" s="12" t="n"/>
      <c r="E748" s="12" t="n"/>
    </row>
    <row r="749">
      <c r="D749" s="12" t="n"/>
      <c r="E749" s="12" t="n"/>
    </row>
    <row r="750">
      <c r="D750" s="12" t="n"/>
      <c r="E750" s="12" t="n"/>
    </row>
    <row r="751">
      <c r="D751" s="12" t="n"/>
      <c r="E751" s="12" t="n"/>
    </row>
    <row r="752">
      <c r="D752" s="12" t="n"/>
      <c r="E752" s="12" t="n"/>
    </row>
    <row r="753">
      <c r="D753" s="12" t="n"/>
      <c r="E753" s="12" t="n"/>
    </row>
    <row r="754">
      <c r="D754" s="12" t="n"/>
      <c r="E754" s="12" t="n"/>
    </row>
    <row r="755">
      <c r="D755" s="12" t="n"/>
      <c r="E755" s="12" t="n"/>
    </row>
    <row r="756">
      <c r="D756" s="12" t="n"/>
      <c r="E756" s="12" t="n"/>
    </row>
    <row r="757">
      <c r="D757" s="12" t="n"/>
      <c r="E757" s="12" t="n"/>
    </row>
    <row r="758">
      <c r="D758" s="12" t="n"/>
      <c r="E758" s="12" t="n"/>
    </row>
    <row r="759">
      <c r="D759" s="12" t="n"/>
      <c r="E759" s="12" t="n"/>
    </row>
    <row r="760">
      <c r="D760" s="12" t="n"/>
      <c r="E760" s="12" t="n"/>
    </row>
    <row r="761">
      <c r="D761" s="12" t="n"/>
      <c r="E761" s="12" t="n"/>
    </row>
    <row r="762">
      <c r="D762" s="12" t="n"/>
      <c r="E762" s="12" t="n"/>
    </row>
    <row r="763">
      <c r="D763" s="12" t="n"/>
      <c r="E763" s="12" t="n"/>
    </row>
    <row r="764">
      <c r="D764" s="12" t="n"/>
      <c r="E764" s="12" t="n"/>
    </row>
    <row r="765">
      <c r="D765" s="12" t="n"/>
      <c r="E765" s="12" t="n"/>
    </row>
    <row r="766">
      <c r="D766" s="12" t="n"/>
      <c r="E766" s="12" t="n"/>
    </row>
    <row r="767">
      <c r="D767" s="12" t="n"/>
      <c r="E767" s="12" t="n"/>
    </row>
    <row r="768">
      <c r="D768" s="12" t="n"/>
      <c r="E768" s="12" t="n"/>
    </row>
    <row r="769">
      <c r="D769" s="12" t="n"/>
      <c r="E769" s="12" t="n"/>
    </row>
    <row r="770">
      <c r="D770" s="12" t="n"/>
      <c r="E770" s="12" t="n"/>
    </row>
    <row r="771">
      <c r="D771" s="12" t="n"/>
      <c r="E771" s="12" t="n"/>
    </row>
    <row r="772">
      <c r="D772" s="12" t="n"/>
      <c r="E772" s="12" t="n"/>
    </row>
    <row r="773">
      <c r="D773" s="12" t="n"/>
      <c r="E773" s="12" t="n"/>
    </row>
    <row r="774">
      <c r="D774" s="12" t="n"/>
      <c r="E774" s="12" t="n"/>
    </row>
    <row r="775">
      <c r="D775" s="12" t="n"/>
      <c r="E775" s="12" t="n"/>
    </row>
    <row r="776">
      <c r="D776" s="12" t="n"/>
      <c r="E776" s="12" t="n"/>
    </row>
    <row r="777">
      <c r="D777" s="12" t="n"/>
      <c r="E777" s="12" t="n"/>
    </row>
    <row r="778">
      <c r="D778" s="12" t="n"/>
      <c r="E778" s="12" t="n"/>
    </row>
    <row r="779">
      <c r="D779" s="12" t="n"/>
      <c r="E779" s="12" t="n"/>
    </row>
    <row r="780">
      <c r="D780" s="12" t="n"/>
      <c r="E780" s="12" t="n"/>
    </row>
    <row r="781">
      <c r="D781" s="12" t="n"/>
      <c r="E781" s="12" t="n"/>
    </row>
    <row r="782">
      <c r="D782" s="12" t="n"/>
      <c r="E782" s="12" t="n"/>
    </row>
    <row r="783">
      <c r="D783" s="12" t="n"/>
      <c r="E783" s="12" t="n"/>
    </row>
    <row r="784">
      <c r="D784" s="12" t="n"/>
      <c r="E784" s="12" t="n"/>
    </row>
    <row r="785">
      <c r="D785" s="12" t="n"/>
      <c r="E785" s="12" t="n"/>
    </row>
    <row r="786">
      <c r="D786" s="12" t="n"/>
      <c r="E786" s="12" t="n"/>
    </row>
    <row r="787">
      <c r="D787" s="12" t="n"/>
      <c r="E787" s="12" t="n"/>
    </row>
    <row r="788">
      <c r="D788" s="12" t="n"/>
      <c r="E788" s="12" t="n"/>
    </row>
    <row r="789">
      <c r="D789" s="12" t="n"/>
      <c r="E789" s="12" t="n"/>
    </row>
    <row r="790">
      <c r="D790" s="12" t="n"/>
      <c r="E790" s="12" t="n"/>
    </row>
    <row r="791">
      <c r="D791" s="12" t="n"/>
      <c r="E791" s="12" t="n"/>
    </row>
    <row r="792">
      <c r="D792" s="12" t="n"/>
      <c r="E792" s="12" t="n"/>
    </row>
    <row r="793">
      <c r="D793" s="12" t="n"/>
      <c r="E793" s="12" t="n"/>
    </row>
    <row r="794">
      <c r="D794" s="12" t="n"/>
      <c r="E794" s="12" t="n"/>
    </row>
    <row r="795">
      <c r="D795" s="12" t="n"/>
      <c r="E795" s="12" t="n"/>
    </row>
    <row r="796">
      <c r="D796" s="12" t="n"/>
      <c r="E796" s="12" t="n"/>
    </row>
    <row r="797">
      <c r="D797" s="12" t="n"/>
      <c r="E797" s="12" t="n"/>
    </row>
    <row r="798">
      <c r="D798" s="12" t="n"/>
      <c r="E798" s="12" t="n"/>
    </row>
    <row r="799">
      <c r="D799" s="12" t="n"/>
      <c r="E799" s="12" t="n"/>
    </row>
    <row r="800">
      <c r="D800" s="12" t="n"/>
      <c r="E800" s="12" t="n"/>
    </row>
    <row r="801">
      <c r="D801" s="12" t="n"/>
      <c r="E801" s="12" t="n"/>
    </row>
    <row r="802">
      <c r="D802" s="12" t="n"/>
      <c r="E802" s="12" t="n"/>
    </row>
    <row r="803">
      <c r="D803" s="12" t="n"/>
      <c r="E803" s="12" t="n"/>
    </row>
    <row r="804">
      <c r="D804" s="12" t="n"/>
      <c r="E804" s="12" t="n"/>
    </row>
    <row r="805">
      <c r="D805" s="12" t="n"/>
      <c r="E805" s="12" t="n"/>
    </row>
    <row r="806">
      <c r="D806" s="12" t="n"/>
      <c r="E806" s="12" t="n"/>
    </row>
    <row r="807">
      <c r="D807" s="12" t="n"/>
      <c r="E807" s="12" t="n"/>
    </row>
    <row r="808">
      <c r="D808" s="12" t="n"/>
      <c r="E808" s="12" t="n"/>
    </row>
    <row r="809">
      <c r="D809" s="12" t="n"/>
      <c r="E809" s="12" t="n"/>
    </row>
    <row r="810">
      <c r="D810" s="12" t="n"/>
      <c r="E810" s="12" t="n"/>
    </row>
    <row r="811">
      <c r="D811" s="12" t="n"/>
      <c r="E811" s="12" t="n"/>
    </row>
    <row r="812">
      <c r="D812" s="12" t="n"/>
      <c r="E812" s="12" t="n"/>
    </row>
    <row r="813">
      <c r="D813" s="12" t="n"/>
      <c r="E813" s="12" t="n"/>
    </row>
    <row r="814">
      <c r="D814" s="12" t="n"/>
      <c r="E814" s="12" t="n"/>
    </row>
    <row r="815">
      <c r="D815" s="12" t="n"/>
      <c r="E815" s="12" t="n"/>
    </row>
    <row r="816">
      <c r="D816" s="12" t="n"/>
      <c r="E816" s="12" t="n"/>
    </row>
    <row r="817">
      <c r="D817" s="12" t="n"/>
      <c r="E817" s="12" t="n"/>
    </row>
    <row r="818">
      <c r="D818" s="12" t="n"/>
      <c r="E818" s="12" t="n"/>
    </row>
    <row r="819">
      <c r="D819" s="12" t="n"/>
      <c r="E819" s="12" t="n"/>
    </row>
    <row r="820">
      <c r="D820" s="12" t="n"/>
      <c r="E820" s="12" t="n"/>
    </row>
    <row r="821">
      <c r="D821" s="12" t="n"/>
      <c r="E821" s="12" t="n"/>
    </row>
    <row r="822">
      <c r="D822" s="12" t="n"/>
      <c r="E822" s="12" t="n"/>
    </row>
    <row r="823">
      <c r="D823" s="12" t="n"/>
      <c r="E823" s="12" t="n"/>
    </row>
    <row r="824">
      <c r="D824" s="12" t="n"/>
      <c r="E824" s="12" t="n"/>
    </row>
    <row r="825">
      <c r="D825" s="12" t="n"/>
      <c r="E825" s="12" t="n"/>
    </row>
    <row r="826">
      <c r="D826" s="12" t="n"/>
      <c r="E826" s="12" t="n"/>
    </row>
    <row r="827">
      <c r="D827" s="12" t="n"/>
      <c r="E827" s="12" t="n"/>
    </row>
    <row r="828">
      <c r="D828" s="12" t="n"/>
      <c r="E828" s="12" t="n"/>
    </row>
    <row r="829">
      <c r="D829" s="12" t="n"/>
      <c r="E829" s="12" t="n"/>
    </row>
    <row r="830">
      <c r="D830" s="12" t="n"/>
      <c r="E830" s="12" t="n"/>
    </row>
    <row r="831">
      <c r="D831" s="12" t="n"/>
      <c r="E831" s="12" t="n"/>
    </row>
    <row r="832">
      <c r="D832" s="12" t="n"/>
      <c r="E832" s="12" t="n"/>
    </row>
    <row r="833">
      <c r="D833" s="12" t="n"/>
      <c r="E833" s="12" t="n"/>
    </row>
    <row r="834">
      <c r="D834" s="12" t="n"/>
      <c r="E834" s="12" t="n"/>
    </row>
    <row r="835">
      <c r="D835" s="12" t="n"/>
      <c r="E835" s="12" t="n"/>
    </row>
    <row r="836">
      <c r="D836" s="12" t="n"/>
      <c r="E836" s="12" t="n"/>
    </row>
    <row r="837">
      <c r="D837" s="12" t="n"/>
      <c r="E837" s="12" t="n"/>
    </row>
    <row r="838">
      <c r="D838" s="12" t="n"/>
      <c r="E838" s="12" t="n"/>
    </row>
    <row r="839">
      <c r="D839" s="12" t="n"/>
      <c r="E839" s="12" t="n"/>
    </row>
    <row r="840">
      <c r="D840" s="12" t="n"/>
      <c r="E840" s="12" t="n"/>
    </row>
    <row r="841">
      <c r="D841" s="12" t="n"/>
      <c r="E841" s="12" t="n"/>
    </row>
    <row r="842">
      <c r="D842" s="12" t="n"/>
      <c r="E842" s="12" t="n"/>
    </row>
    <row r="843">
      <c r="D843" s="12" t="n"/>
      <c r="E843" s="12" t="n"/>
    </row>
    <row r="844">
      <c r="D844" s="12" t="n"/>
      <c r="E844" s="12" t="n"/>
    </row>
    <row r="845">
      <c r="D845" s="12" t="n"/>
      <c r="E845" s="12" t="n"/>
    </row>
    <row r="846">
      <c r="D846" s="12" t="n"/>
      <c r="E846" s="12" t="n"/>
    </row>
    <row r="847">
      <c r="D847" s="12" t="n"/>
      <c r="E847" s="12" t="n"/>
    </row>
    <row r="848">
      <c r="D848" s="12" t="n"/>
      <c r="E848" s="12" t="n"/>
    </row>
    <row r="849">
      <c r="D849" s="12" t="n"/>
      <c r="E849" s="12" t="n"/>
    </row>
    <row r="850">
      <c r="D850" s="12" t="n"/>
      <c r="E850" s="12" t="n"/>
    </row>
    <row r="851">
      <c r="D851" s="12" t="n"/>
      <c r="E851" s="12" t="n"/>
    </row>
    <row r="852">
      <c r="D852" s="12" t="n"/>
      <c r="E852" s="12" t="n"/>
    </row>
    <row r="853">
      <c r="D853" s="12" t="n"/>
      <c r="E853" s="12" t="n"/>
    </row>
    <row r="854">
      <c r="D854" s="12" t="n"/>
      <c r="E854" s="12" t="n"/>
    </row>
    <row r="855">
      <c r="D855" s="12" t="n"/>
      <c r="E855" s="12" t="n"/>
    </row>
    <row r="856">
      <c r="D856" s="12" t="n"/>
      <c r="E856" s="12" t="n"/>
    </row>
    <row r="857">
      <c r="D857" s="12" t="n"/>
      <c r="E857" s="12" t="n"/>
    </row>
    <row r="858">
      <c r="D858" s="12" t="n"/>
      <c r="E858" s="12" t="n"/>
    </row>
    <row r="859">
      <c r="D859" s="12" t="n"/>
      <c r="E859" s="12" t="n"/>
    </row>
    <row r="860">
      <c r="D860" s="12" t="n"/>
      <c r="E860" s="12" t="n"/>
    </row>
    <row r="861">
      <c r="D861" s="12" t="n"/>
      <c r="E861" s="12" t="n"/>
    </row>
    <row r="862">
      <c r="D862" s="12" t="n"/>
      <c r="E862" s="12" t="n"/>
    </row>
    <row r="863">
      <c r="D863" s="12" t="n"/>
      <c r="E863" s="12" t="n"/>
    </row>
    <row r="864">
      <c r="D864" s="12" t="n"/>
      <c r="E864" s="12" t="n"/>
    </row>
    <row r="865">
      <c r="D865" s="12" t="n"/>
      <c r="E865" s="12" t="n"/>
    </row>
    <row r="866">
      <c r="D866" s="12" t="n"/>
      <c r="E866" s="12" t="n"/>
    </row>
    <row r="867">
      <c r="D867" s="12" t="n"/>
      <c r="E867" s="12" t="n"/>
    </row>
    <row r="868">
      <c r="D868" s="12" t="n"/>
      <c r="E868" s="12" t="n"/>
    </row>
    <row r="869">
      <c r="D869" s="12" t="n"/>
      <c r="E869" s="12" t="n"/>
    </row>
    <row r="870">
      <c r="D870" s="12" t="n"/>
      <c r="E870" s="12" t="n"/>
    </row>
    <row r="871">
      <c r="D871" s="12" t="n"/>
      <c r="E871" s="12" t="n"/>
    </row>
    <row r="872">
      <c r="D872" s="12" t="n"/>
      <c r="E872" s="12" t="n"/>
    </row>
    <row r="873">
      <c r="D873" s="12" t="n"/>
      <c r="E873" s="12" t="n"/>
    </row>
    <row r="874">
      <c r="D874" s="12" t="n"/>
      <c r="E874" s="12" t="n"/>
    </row>
    <row r="875">
      <c r="D875" s="12" t="n"/>
      <c r="E875" s="12" t="n"/>
    </row>
    <row r="876">
      <c r="D876" s="12" t="n"/>
      <c r="E876" s="12" t="n"/>
    </row>
    <row r="877">
      <c r="D877" s="12" t="n"/>
      <c r="E877" s="12" t="n"/>
    </row>
    <row r="878">
      <c r="D878" s="12" t="n"/>
      <c r="E878" s="12" t="n"/>
    </row>
    <row r="879">
      <c r="D879" s="12" t="n"/>
      <c r="E879" s="12" t="n"/>
    </row>
    <row r="880">
      <c r="D880" s="12" t="n"/>
      <c r="E880" s="12" t="n"/>
    </row>
    <row r="881">
      <c r="D881" s="12" t="n"/>
      <c r="E881" s="12" t="n"/>
    </row>
    <row r="882">
      <c r="D882" s="12" t="n"/>
      <c r="E882" s="12" t="n"/>
    </row>
    <row r="883">
      <c r="D883" s="12" t="n"/>
      <c r="E883" s="12" t="n"/>
    </row>
    <row r="884">
      <c r="D884" s="12" t="n"/>
      <c r="E884" s="12" t="n"/>
    </row>
    <row r="885">
      <c r="D885" s="12" t="n"/>
      <c r="E885" s="12" t="n"/>
    </row>
    <row r="886">
      <c r="D886" s="12" t="n"/>
      <c r="E886" s="12" t="n"/>
    </row>
    <row r="887">
      <c r="D887" s="12" t="n"/>
      <c r="E887" s="12" t="n"/>
    </row>
    <row r="888">
      <c r="D888" s="12" t="n"/>
      <c r="E888" s="12" t="n"/>
    </row>
    <row r="889">
      <c r="D889" s="12" t="n"/>
      <c r="E889" s="12" t="n"/>
    </row>
    <row r="890">
      <c r="D890" s="12" t="n"/>
      <c r="E890" s="12" t="n"/>
    </row>
    <row r="891">
      <c r="D891" s="12" t="n"/>
      <c r="E891" s="12" t="n"/>
    </row>
    <row r="892">
      <c r="D892" s="12" t="n"/>
      <c r="E892" s="12" t="n"/>
    </row>
    <row r="893">
      <c r="D893" s="12" t="n"/>
      <c r="E893" s="12" t="n"/>
    </row>
    <row r="894">
      <c r="D894" s="12" t="n"/>
      <c r="E894" s="12" t="n"/>
    </row>
    <row r="895">
      <c r="D895" s="12" t="n"/>
      <c r="E895" s="12" t="n"/>
    </row>
    <row r="896">
      <c r="D896" s="12" t="n"/>
      <c r="E896" s="12" t="n"/>
    </row>
    <row r="897">
      <c r="D897" s="12" t="n"/>
      <c r="E897" s="12" t="n"/>
    </row>
    <row r="898">
      <c r="D898" s="12" t="n"/>
      <c r="E898" s="12" t="n"/>
    </row>
    <row r="899">
      <c r="D899" s="12" t="n"/>
      <c r="E899" s="12" t="n"/>
    </row>
    <row r="900">
      <c r="D900" s="12" t="n"/>
      <c r="E900" s="12" t="n"/>
    </row>
    <row r="901">
      <c r="D901" s="12" t="n"/>
      <c r="E901" s="12" t="n"/>
    </row>
    <row r="902">
      <c r="D902" s="12" t="n"/>
      <c r="E902" s="12" t="n"/>
    </row>
    <row r="903">
      <c r="D903" s="12" t="n"/>
      <c r="E903" s="12" t="n"/>
    </row>
    <row r="904">
      <c r="D904" s="12" t="n"/>
      <c r="E904" s="12" t="n"/>
    </row>
    <row r="905">
      <c r="D905" s="12" t="n"/>
      <c r="E905" s="12" t="n"/>
    </row>
    <row r="906">
      <c r="D906" s="12" t="n"/>
      <c r="E906" s="12" t="n"/>
    </row>
    <row r="907">
      <c r="D907" s="12" t="n"/>
      <c r="E907" s="12" t="n"/>
    </row>
    <row r="908">
      <c r="D908" s="12" t="n"/>
      <c r="E908" s="12" t="n"/>
    </row>
    <row r="909">
      <c r="D909" s="12" t="n"/>
      <c r="E909" s="12" t="n"/>
    </row>
    <row r="910">
      <c r="D910" s="12" t="n"/>
      <c r="E910" s="12" t="n"/>
    </row>
    <row r="911">
      <c r="D911" s="12" t="n"/>
      <c r="E911" s="12" t="n"/>
    </row>
    <row r="912">
      <c r="D912" s="12" t="n"/>
      <c r="E912" s="12" t="n"/>
    </row>
    <row r="913">
      <c r="D913" s="12" t="n"/>
      <c r="E913" s="12" t="n"/>
    </row>
    <row r="914">
      <c r="D914" s="12" t="n"/>
      <c r="E914" s="12" t="n"/>
    </row>
    <row r="915">
      <c r="D915" s="12" t="n"/>
      <c r="E915" s="12" t="n"/>
    </row>
    <row r="916">
      <c r="D916" s="12" t="n"/>
      <c r="E916" s="12" t="n"/>
    </row>
    <row r="917">
      <c r="D917" s="12" t="n"/>
      <c r="E917" s="12" t="n"/>
    </row>
    <row r="918">
      <c r="D918" s="12" t="n"/>
      <c r="E918" s="12" t="n"/>
    </row>
    <row r="919">
      <c r="D919" s="12" t="n"/>
      <c r="E919" s="12" t="n"/>
    </row>
    <row r="920">
      <c r="D920" s="12" t="n"/>
      <c r="E920" s="12" t="n"/>
    </row>
    <row r="921">
      <c r="D921" s="12" t="n"/>
      <c r="E921" s="12" t="n"/>
    </row>
    <row r="922">
      <c r="D922" s="12" t="n"/>
      <c r="E922" s="12" t="n"/>
    </row>
    <row r="923">
      <c r="D923" s="12" t="n"/>
      <c r="E923" s="12" t="n"/>
    </row>
    <row r="924">
      <c r="D924" s="12" t="n"/>
      <c r="E924" s="12" t="n"/>
    </row>
    <row r="925">
      <c r="D925" s="12" t="n"/>
      <c r="E925" s="12" t="n"/>
    </row>
    <row r="926">
      <c r="D926" s="12" t="n"/>
      <c r="E926" s="12" t="n"/>
    </row>
    <row r="927">
      <c r="D927" s="12" t="n"/>
      <c r="E927" s="12" t="n"/>
    </row>
    <row r="928">
      <c r="D928" s="12" t="n"/>
      <c r="E928" s="12" t="n"/>
    </row>
    <row r="929">
      <c r="D929" s="12" t="n"/>
      <c r="E929" s="12" t="n"/>
    </row>
    <row r="930">
      <c r="D930" s="12" t="n"/>
      <c r="E930" s="12" t="n"/>
    </row>
    <row r="931">
      <c r="D931" s="12" t="n"/>
      <c r="E931" s="12" t="n"/>
    </row>
    <row r="932">
      <c r="D932" s="12" t="n"/>
      <c r="E932" s="12" t="n"/>
    </row>
    <row r="933">
      <c r="D933" s="12" t="n"/>
      <c r="E933" s="12" t="n"/>
    </row>
    <row r="934">
      <c r="D934" s="12" t="n"/>
      <c r="E934" s="12" t="n"/>
    </row>
    <row r="935">
      <c r="D935" s="12" t="n"/>
      <c r="E935" s="12" t="n"/>
    </row>
    <row r="936">
      <c r="D936" s="12" t="n"/>
      <c r="E936" s="12" t="n"/>
    </row>
    <row r="937">
      <c r="D937" s="12" t="n"/>
      <c r="E937" s="12" t="n"/>
    </row>
    <row r="938">
      <c r="D938" s="12" t="n"/>
      <c r="E938" s="12" t="n"/>
    </row>
    <row r="939">
      <c r="D939" s="12" t="n"/>
      <c r="E939" s="12" t="n"/>
    </row>
    <row r="940">
      <c r="D940" s="12" t="n"/>
      <c r="E940" s="12" t="n"/>
    </row>
    <row r="941">
      <c r="D941" s="12" t="n"/>
      <c r="E941" s="12" t="n"/>
    </row>
    <row r="942">
      <c r="D942" s="12" t="n"/>
      <c r="E942" s="12" t="n"/>
    </row>
    <row r="943">
      <c r="D943" s="12" t="n"/>
      <c r="E943" s="12" t="n"/>
    </row>
    <row r="944">
      <c r="D944" s="12" t="n"/>
      <c r="E944" s="12" t="n"/>
    </row>
    <row r="945">
      <c r="D945" s="12" t="n"/>
      <c r="E945" s="12" t="n"/>
    </row>
    <row r="946">
      <c r="D946" s="12" t="n"/>
      <c r="E946" s="12" t="n"/>
    </row>
    <row r="947">
      <c r="D947" s="12" t="n"/>
      <c r="E947" s="12" t="n"/>
    </row>
    <row r="948">
      <c r="D948" s="12" t="n"/>
      <c r="E948" s="12" t="n"/>
    </row>
    <row r="949">
      <c r="D949" s="12" t="n"/>
      <c r="E949" s="12" t="n"/>
    </row>
    <row r="950">
      <c r="D950" s="12" t="n"/>
      <c r="E950" s="12" t="n"/>
    </row>
    <row r="951">
      <c r="D951" s="12" t="n"/>
      <c r="E951" s="12" t="n"/>
    </row>
    <row r="952">
      <c r="D952" s="12" t="n"/>
      <c r="E952" s="12" t="n"/>
    </row>
    <row r="953">
      <c r="D953" s="12" t="n"/>
      <c r="E953" s="12" t="n"/>
    </row>
    <row r="954">
      <c r="D954" s="12" t="n"/>
      <c r="E954" s="12" t="n"/>
    </row>
    <row r="955">
      <c r="D955" s="12" t="n"/>
      <c r="E955" s="12" t="n"/>
    </row>
    <row r="956">
      <c r="D956" s="12" t="n"/>
      <c r="E956" s="12" t="n"/>
    </row>
    <row r="957">
      <c r="D957" s="12" t="n"/>
      <c r="E957" s="12" t="n"/>
    </row>
    <row r="958">
      <c r="D958" s="12" t="n"/>
      <c r="E958" s="12" t="n"/>
    </row>
    <row r="959">
      <c r="D959" s="12" t="n"/>
      <c r="E959" s="12" t="n"/>
    </row>
    <row r="960">
      <c r="D960" s="12" t="n"/>
      <c r="E960" s="12" t="n"/>
    </row>
    <row r="961">
      <c r="D961" s="12" t="n"/>
      <c r="E961" s="12" t="n"/>
    </row>
    <row r="962">
      <c r="D962" s="12" t="n"/>
      <c r="E962" s="12" t="n"/>
    </row>
    <row r="963">
      <c r="D963" s="12" t="n"/>
      <c r="E963" s="12" t="n"/>
    </row>
    <row r="964">
      <c r="D964" s="12" t="n"/>
      <c r="E964" s="12" t="n"/>
    </row>
    <row r="965">
      <c r="D965" s="12" t="n"/>
      <c r="E965" s="12" t="n"/>
    </row>
    <row r="966">
      <c r="D966" s="12" t="n"/>
      <c r="E966" s="12" t="n"/>
    </row>
    <row r="967">
      <c r="D967" s="12" t="n"/>
      <c r="E967" s="12" t="n"/>
    </row>
    <row r="968">
      <c r="D968" s="12" t="n"/>
      <c r="E968" s="12" t="n"/>
    </row>
    <row r="969">
      <c r="D969" s="12" t="n"/>
      <c r="E969" s="12" t="n"/>
    </row>
    <row r="970">
      <c r="D970" s="12" t="n"/>
      <c r="E970" s="12" t="n"/>
    </row>
    <row r="971">
      <c r="D971" s="12" t="n"/>
      <c r="E971" s="12" t="n"/>
    </row>
    <row r="972">
      <c r="D972" s="12" t="n"/>
      <c r="E972" s="12" t="n"/>
    </row>
    <row r="973">
      <c r="D973" s="12" t="n"/>
      <c r="E973" s="12" t="n"/>
    </row>
    <row r="974">
      <c r="D974" s="12" t="n"/>
      <c r="E974" s="12" t="n"/>
    </row>
    <row r="975">
      <c r="D975" s="12" t="n"/>
      <c r="E975" s="12" t="n"/>
    </row>
    <row r="976">
      <c r="D976" s="12" t="n"/>
      <c r="E976" s="12" t="n"/>
    </row>
    <row r="977">
      <c r="D977" s="12" t="n"/>
      <c r="E977" s="12" t="n"/>
    </row>
    <row r="978">
      <c r="D978" s="12" t="n"/>
      <c r="E978" s="12" t="n"/>
    </row>
    <row r="979">
      <c r="D979" s="12" t="n"/>
      <c r="E979" s="12" t="n"/>
    </row>
    <row r="980">
      <c r="D980" s="12" t="n"/>
      <c r="E980" s="12" t="n"/>
    </row>
    <row r="981">
      <c r="D981" s="12" t="n"/>
      <c r="E981" s="12" t="n"/>
    </row>
    <row r="982">
      <c r="D982" s="12" t="n"/>
      <c r="E982" s="12" t="n"/>
    </row>
    <row r="983">
      <c r="D983" s="12" t="n"/>
      <c r="E983" s="12" t="n"/>
    </row>
    <row r="984">
      <c r="D984" s="12" t="n"/>
      <c r="E984" s="12" t="n"/>
    </row>
    <row r="985">
      <c r="D985" s="12" t="n"/>
      <c r="E985" s="12" t="n"/>
    </row>
    <row r="986">
      <c r="D986" s="12" t="n"/>
      <c r="E986" s="12" t="n"/>
    </row>
    <row r="987">
      <c r="D987" s="12" t="n"/>
      <c r="E987" s="12" t="n"/>
    </row>
    <row r="988">
      <c r="D988" s="12" t="n"/>
      <c r="E988" s="12" t="n"/>
    </row>
    <row r="989">
      <c r="D989" s="12" t="n"/>
      <c r="E989" s="12" t="n"/>
    </row>
    <row r="990">
      <c r="D990" s="12" t="n"/>
      <c r="E990" s="12" t="n"/>
    </row>
    <row r="991">
      <c r="D991" s="12" t="n"/>
      <c r="E991" s="12" t="n"/>
    </row>
    <row r="992">
      <c r="D992" s="12" t="n"/>
      <c r="E992" s="12" t="n"/>
    </row>
    <row r="993">
      <c r="D993" s="12" t="n"/>
      <c r="E993" s="12" t="n"/>
    </row>
    <row r="994">
      <c r="D994" s="12" t="n"/>
      <c r="E994" s="12" t="n"/>
    </row>
    <row r="995">
      <c r="D995" s="12" t="n"/>
      <c r="E995" s="12" t="n"/>
    </row>
    <row r="996">
      <c r="D996" s="12" t="n"/>
      <c r="E996" s="12" t="n"/>
    </row>
    <row r="997">
      <c r="D997" s="12" t="n"/>
      <c r="E997" s="12" t="n"/>
    </row>
    <row r="998">
      <c r="D998" s="12" t="n"/>
      <c r="E998" s="12" t="n"/>
    </row>
    <row r="999">
      <c r="D999" s="12" t="n"/>
      <c r="E999" s="12" t="n"/>
    </row>
    <row r="1000">
      <c r="D1000" s="12" t="n"/>
      <c r="E1000" s="12" t="n"/>
    </row>
    <row r="1001">
      <c r="D1001" s="12" t="n"/>
      <c r="E1001" s="12" t="n"/>
    </row>
    <row r="1002">
      <c r="D1002" s="12" t="n"/>
      <c r="E1002" s="12" t="n"/>
    </row>
    <row r="1003">
      <c r="D1003" s="12" t="n"/>
      <c r="E1003" s="12" t="n"/>
    </row>
    <row r="1004">
      <c r="D1004" s="12" t="n"/>
      <c r="E1004" s="12" t="n"/>
    </row>
    <row r="1005">
      <c r="D1005" s="12" t="n"/>
      <c r="E1005" s="12" t="n"/>
    </row>
    <row r="1006">
      <c r="D1006" s="12" t="n"/>
      <c r="E1006" s="12" t="n"/>
    </row>
    <row r="1007">
      <c r="D1007" s="12" t="n"/>
      <c r="E1007" s="12" t="n"/>
    </row>
    <row r="1008">
      <c r="D1008" s="12" t="n"/>
      <c r="E1008" s="12" t="n"/>
    </row>
    <row r="1009">
      <c r="D1009" s="12" t="n"/>
      <c r="E1009" s="12" t="n"/>
    </row>
    <row r="1010">
      <c r="D1010" s="12" t="n"/>
      <c r="E1010" s="12" t="n"/>
    </row>
    <row r="1011">
      <c r="D1011" s="12" t="n"/>
      <c r="E1011" s="12" t="n"/>
    </row>
    <row r="1012">
      <c r="D1012" s="12" t="n"/>
      <c r="E1012" s="12" t="n"/>
    </row>
    <row r="1013">
      <c r="D1013" s="12" t="n"/>
      <c r="E1013" s="12" t="n"/>
    </row>
    <row r="1014">
      <c r="D1014" s="12" t="n"/>
      <c r="E1014" s="12" t="n"/>
    </row>
    <row r="1015">
      <c r="D1015" s="12" t="n"/>
      <c r="E1015" s="12" t="n"/>
    </row>
    <row r="1016">
      <c r="D1016" s="12" t="n"/>
      <c r="E1016" s="12" t="n"/>
    </row>
    <row r="1017">
      <c r="D1017" s="12" t="n"/>
      <c r="E1017" s="12" t="n"/>
    </row>
    <row r="1018">
      <c r="D1018" s="12" t="n"/>
      <c r="E1018" s="12" t="n"/>
    </row>
    <row r="1019">
      <c r="D1019" s="12" t="n"/>
      <c r="E1019" s="12" t="n"/>
    </row>
    <row r="1020">
      <c r="D1020" s="12" t="n"/>
      <c r="E1020" s="12" t="n"/>
    </row>
    <row r="1021">
      <c r="D1021" s="12" t="n"/>
      <c r="E1021" s="12" t="n"/>
    </row>
    <row r="1022">
      <c r="D1022" s="12" t="n"/>
      <c r="E1022" s="12" t="n"/>
    </row>
    <row r="1023">
      <c r="D1023" s="12" t="n"/>
      <c r="E1023" s="12" t="n"/>
    </row>
    <row r="1024">
      <c r="D1024" s="12" t="n"/>
      <c r="E1024" s="12" t="n"/>
    </row>
    <row r="1025">
      <c r="D1025" s="12" t="n"/>
      <c r="E1025" s="12" t="n"/>
    </row>
    <row r="1026">
      <c r="D1026" s="12" t="n"/>
      <c r="E1026" s="12" t="n"/>
    </row>
    <row r="1027">
      <c r="D1027" s="12" t="n"/>
      <c r="E1027" s="12" t="n"/>
    </row>
    <row r="1028">
      <c r="D1028" s="12" t="n"/>
      <c r="E1028" s="12" t="n"/>
    </row>
    <row r="1029">
      <c r="D1029" s="12" t="n"/>
      <c r="E1029" s="12" t="n"/>
    </row>
    <row r="1030">
      <c r="D1030" s="12" t="n"/>
      <c r="E1030" s="12" t="n"/>
    </row>
    <row r="1031">
      <c r="D1031" s="12" t="n"/>
      <c r="E1031" s="12" t="n"/>
    </row>
    <row r="1032">
      <c r="D1032" s="12" t="n"/>
      <c r="E1032" s="12" t="n"/>
    </row>
    <row r="1033">
      <c r="D1033" s="12" t="n"/>
      <c r="E1033" s="12" t="n"/>
    </row>
    <row r="1034">
      <c r="D1034" s="12" t="n"/>
      <c r="E1034" s="12" t="n"/>
    </row>
    <row r="1035">
      <c r="D1035" s="12" t="n"/>
      <c r="E1035" s="12" t="n"/>
    </row>
    <row r="1036">
      <c r="D1036" s="12" t="n"/>
      <c r="E1036" s="12" t="n"/>
    </row>
    <row r="1037">
      <c r="D1037" s="12" t="n"/>
      <c r="E1037" s="12" t="n"/>
    </row>
    <row r="1038">
      <c r="D1038" s="12" t="n"/>
      <c r="E1038" s="12" t="n"/>
    </row>
    <row r="1039">
      <c r="D1039" s="12" t="n"/>
      <c r="E1039" s="12" t="n"/>
    </row>
    <row r="1040">
      <c r="D1040" s="12" t="n"/>
      <c r="E1040" s="12" t="n"/>
    </row>
    <row r="1041">
      <c r="D1041" s="12" t="n"/>
      <c r="E1041" s="12" t="n"/>
    </row>
    <row r="1042">
      <c r="D1042" s="12" t="n"/>
      <c r="E1042" s="12" t="n"/>
    </row>
    <row r="1043">
      <c r="D1043" s="12" t="n"/>
      <c r="E1043" s="12" t="n"/>
    </row>
    <row r="1044">
      <c r="D1044" s="12" t="n"/>
      <c r="E1044" s="12" t="n"/>
    </row>
    <row r="1045">
      <c r="D1045" s="12" t="n"/>
      <c r="E1045" s="12" t="n"/>
    </row>
    <row r="1046">
      <c r="D1046" s="12" t="n"/>
      <c r="E1046" s="12" t="n"/>
    </row>
    <row r="1047">
      <c r="D1047" s="12" t="n"/>
      <c r="E1047" s="12" t="n"/>
    </row>
    <row r="1048">
      <c r="D1048" s="12" t="n"/>
      <c r="E1048" s="12" t="n"/>
    </row>
    <row r="1049">
      <c r="D1049" s="12" t="n"/>
      <c r="E1049" s="12" t="n"/>
    </row>
    <row r="1050">
      <c r="D1050" s="12" t="n"/>
      <c r="E1050" s="12" t="n"/>
    </row>
    <row r="1051">
      <c r="D1051" s="12" t="n"/>
      <c r="E1051" s="12" t="n"/>
    </row>
    <row r="1052">
      <c r="D1052" s="12" t="n"/>
      <c r="E1052" s="12" t="n"/>
    </row>
    <row r="1053">
      <c r="D1053" s="12" t="n"/>
      <c r="E1053" s="12" t="n"/>
    </row>
    <row r="1054">
      <c r="D1054" s="12" t="n"/>
      <c r="E1054" s="12" t="n"/>
    </row>
    <row r="1055">
      <c r="D1055" s="12" t="n"/>
      <c r="E1055" s="12" t="n"/>
    </row>
    <row r="1056">
      <c r="D1056" s="12" t="n"/>
      <c r="E1056" s="12" t="n"/>
    </row>
    <row r="1057">
      <c r="D1057" s="12" t="n"/>
      <c r="E1057" s="12" t="n"/>
    </row>
    <row r="1058">
      <c r="D1058" s="12" t="n"/>
      <c r="E1058" s="12" t="n"/>
    </row>
    <row r="1059">
      <c r="D1059" s="12" t="n"/>
      <c r="E1059" s="12" t="n"/>
    </row>
    <row r="1060">
      <c r="D1060" s="12" t="n"/>
      <c r="E1060" s="12" t="n"/>
    </row>
    <row r="1061">
      <c r="D1061" s="12" t="n"/>
      <c r="E1061" s="12" t="n"/>
    </row>
    <row r="1062">
      <c r="D1062" s="12" t="n"/>
      <c r="E1062" s="12" t="n"/>
    </row>
    <row r="1063">
      <c r="D1063" s="12" t="n"/>
      <c r="E1063" s="12" t="n"/>
    </row>
    <row r="1064">
      <c r="D1064" s="12" t="n"/>
      <c r="E1064" s="12" t="n"/>
    </row>
    <row r="1065">
      <c r="D1065" s="12" t="n"/>
      <c r="E1065" s="12" t="n"/>
    </row>
    <row r="1066">
      <c r="D1066" s="12" t="n"/>
      <c r="E1066" s="12" t="n"/>
    </row>
    <row r="1067">
      <c r="D1067" s="12" t="n"/>
      <c r="E1067" s="12" t="n"/>
    </row>
    <row r="1068">
      <c r="D1068" s="12" t="n"/>
      <c r="E1068" s="12" t="n"/>
    </row>
    <row r="1069">
      <c r="D1069" s="12" t="n"/>
      <c r="E1069" s="12" t="n"/>
    </row>
    <row r="1070">
      <c r="D1070" s="12" t="n"/>
      <c r="E1070" s="12" t="n"/>
    </row>
    <row r="1071">
      <c r="D1071" s="12" t="n"/>
      <c r="E1071" s="12" t="n"/>
    </row>
    <row r="1072">
      <c r="D1072" s="12" t="n"/>
      <c r="E1072" s="12" t="n"/>
    </row>
    <row r="1073">
      <c r="D1073" s="12" t="n"/>
      <c r="E1073" s="12" t="n"/>
    </row>
    <row r="1074">
      <c r="D1074" s="12" t="n"/>
      <c r="E1074" s="12" t="n"/>
    </row>
    <row r="1075">
      <c r="D1075" s="12" t="n"/>
      <c r="E1075" s="12" t="n"/>
    </row>
    <row r="1076">
      <c r="D1076" s="12" t="n"/>
      <c r="E1076" s="12" t="n"/>
    </row>
    <row r="1077">
      <c r="D1077" s="12" t="n"/>
      <c r="E1077" s="12" t="n"/>
    </row>
    <row r="1078">
      <c r="D1078" s="12" t="n"/>
      <c r="E1078" s="12" t="n"/>
    </row>
    <row r="1079">
      <c r="D1079" s="12" t="n"/>
      <c r="E1079" s="12" t="n"/>
    </row>
    <row r="1080">
      <c r="D1080" s="12" t="n"/>
      <c r="E1080" s="12" t="n"/>
    </row>
    <row r="1081">
      <c r="D1081" s="12" t="n"/>
      <c r="E1081" s="12" t="n"/>
    </row>
    <row r="1082">
      <c r="D1082" s="12" t="n"/>
      <c r="E1082" s="12" t="n"/>
    </row>
    <row r="1083">
      <c r="D1083" s="12" t="n"/>
      <c r="E1083" s="12" t="n"/>
    </row>
    <row r="1084">
      <c r="D1084" s="12" t="n"/>
      <c r="E1084" s="12" t="n"/>
    </row>
    <row r="1085">
      <c r="D1085" s="12" t="n"/>
      <c r="E1085" s="12" t="n"/>
    </row>
    <row r="1086">
      <c r="D1086" s="12" t="n"/>
      <c r="E1086" s="12" t="n"/>
    </row>
    <row r="1087">
      <c r="D1087" s="12" t="n"/>
      <c r="E1087" s="12" t="n"/>
    </row>
    <row r="1088">
      <c r="D1088" s="12" t="n"/>
      <c r="E1088" s="12" t="n"/>
    </row>
    <row r="1089">
      <c r="D1089" s="12" t="n"/>
      <c r="E1089" s="12" t="n"/>
    </row>
    <row r="1090">
      <c r="D1090" s="12" t="n"/>
      <c r="E1090" s="12" t="n"/>
    </row>
    <row r="1091">
      <c r="D1091" s="12" t="n"/>
      <c r="E1091" s="12" t="n"/>
    </row>
    <row r="1092">
      <c r="D1092" s="12" t="n"/>
      <c r="E1092" s="12" t="n"/>
    </row>
    <row r="1093">
      <c r="D1093" s="12" t="n"/>
      <c r="E1093" s="12" t="n"/>
    </row>
    <row r="1094">
      <c r="D1094" s="12" t="n"/>
      <c r="E1094" s="12" t="n"/>
    </row>
    <row r="1095">
      <c r="D1095" s="12" t="n"/>
      <c r="E1095" s="12" t="n"/>
    </row>
    <row r="1096">
      <c r="D1096" s="12" t="n"/>
      <c r="E1096" s="12" t="n"/>
    </row>
    <row r="1097">
      <c r="D1097" s="12" t="n"/>
      <c r="E1097" s="12" t="n"/>
    </row>
    <row r="1098">
      <c r="D1098" s="12" t="n"/>
      <c r="E1098" s="12" t="n"/>
    </row>
    <row r="1099">
      <c r="D1099" s="12" t="n"/>
      <c r="E1099" s="12" t="n"/>
    </row>
    <row r="1100">
      <c r="D1100" s="12" t="n"/>
      <c r="E1100" s="12" t="n"/>
    </row>
    <row r="1101">
      <c r="D1101" s="12" t="n"/>
      <c r="E1101" s="12" t="n"/>
    </row>
    <row r="1102">
      <c r="D1102" s="12" t="n"/>
      <c r="E1102" s="12" t="n"/>
    </row>
    <row r="1103">
      <c r="D1103" s="12" t="n"/>
      <c r="E1103" s="12" t="n"/>
    </row>
    <row r="1104">
      <c r="D1104" s="12" t="n"/>
      <c r="E1104" s="12" t="n"/>
    </row>
    <row r="1105">
      <c r="D1105" s="12" t="n"/>
      <c r="E1105" s="12" t="n"/>
    </row>
    <row r="1106">
      <c r="D1106" s="12" t="n"/>
      <c r="E1106" s="12" t="n"/>
    </row>
    <row r="1107">
      <c r="D1107" s="12" t="n"/>
      <c r="E1107" s="12" t="n"/>
    </row>
    <row r="1108">
      <c r="D1108" s="12" t="n"/>
      <c r="E1108" s="12" t="n"/>
    </row>
    <row r="1109">
      <c r="D1109" s="12" t="n"/>
      <c r="E1109" s="12" t="n"/>
    </row>
    <row r="1110">
      <c r="D1110" s="12" t="n"/>
      <c r="E1110" s="12" t="n"/>
    </row>
    <row r="1111">
      <c r="D1111" s="12" t="n"/>
      <c r="E1111" s="12" t="n"/>
    </row>
    <row r="1112">
      <c r="D1112" s="12" t="n"/>
      <c r="E1112" s="12" t="n"/>
    </row>
    <row r="1113">
      <c r="D1113" s="12" t="n"/>
      <c r="E1113" s="12" t="n"/>
    </row>
    <row r="1114">
      <c r="D1114" s="12" t="n"/>
      <c r="E1114" s="12" t="n"/>
    </row>
    <row r="1115">
      <c r="D1115" s="12" t="n"/>
      <c r="E1115" s="12" t="n"/>
    </row>
    <row r="1116">
      <c r="D1116" s="12" t="n"/>
      <c r="E1116" s="12" t="n"/>
    </row>
    <row r="1117">
      <c r="D1117" s="12" t="n"/>
      <c r="E1117" s="12" t="n"/>
    </row>
    <row r="1118">
      <c r="D1118" s="12" t="n"/>
      <c r="E1118" s="12" t="n"/>
    </row>
    <row r="1119">
      <c r="D1119" s="12" t="n"/>
      <c r="E1119" s="12" t="n"/>
    </row>
    <row r="1120">
      <c r="D1120" s="12" t="n"/>
      <c r="E1120" s="12" t="n"/>
    </row>
    <row r="1121">
      <c r="D1121" s="12" t="n"/>
      <c r="E1121" s="12" t="n"/>
    </row>
    <row r="1122">
      <c r="D1122" s="12" t="n"/>
      <c r="E1122" s="12" t="n"/>
    </row>
    <row r="1123">
      <c r="D1123" s="12" t="n"/>
      <c r="E1123" s="12" t="n"/>
    </row>
    <row r="1124">
      <c r="D1124" s="12" t="n"/>
      <c r="E1124" s="12" t="n"/>
    </row>
    <row r="1125">
      <c r="D1125" s="12" t="n"/>
      <c r="E1125" s="12" t="n"/>
    </row>
    <row r="1126">
      <c r="D1126" s="12" t="n"/>
      <c r="E1126" s="12" t="n"/>
    </row>
    <row r="1127">
      <c r="D1127" s="12" t="n"/>
      <c r="E1127" s="12" t="n"/>
    </row>
    <row r="1128">
      <c r="D1128" s="12" t="n"/>
      <c r="E1128" s="12" t="n"/>
    </row>
    <row r="1129">
      <c r="D1129" s="12" t="n"/>
      <c r="E1129" s="12" t="n"/>
    </row>
    <row r="1130">
      <c r="D1130" s="12" t="n"/>
      <c r="E1130" s="12" t="n"/>
    </row>
    <row r="1131">
      <c r="D1131" s="12" t="n"/>
      <c r="E1131" s="12" t="n"/>
    </row>
    <row r="1132">
      <c r="D1132" s="12" t="n"/>
      <c r="E1132" s="12" t="n"/>
    </row>
    <row r="1133">
      <c r="D1133" s="12" t="n"/>
      <c r="E1133" s="12" t="n"/>
    </row>
    <row r="1134">
      <c r="D1134" s="12" t="n"/>
      <c r="E1134" s="12" t="n"/>
    </row>
    <row r="1135">
      <c r="D1135" s="12" t="n"/>
      <c r="E1135" s="12" t="n"/>
    </row>
    <row r="1136">
      <c r="D1136" s="12" t="n"/>
      <c r="E1136" s="12" t="n"/>
    </row>
    <row r="1137">
      <c r="D1137" s="12" t="n"/>
      <c r="E1137" s="12" t="n"/>
    </row>
    <row r="1138">
      <c r="D1138" s="12" t="n"/>
      <c r="E1138" s="12" t="n"/>
    </row>
    <row r="1139">
      <c r="D1139" s="12" t="n"/>
      <c r="E1139" s="12" t="n"/>
    </row>
    <row r="1140">
      <c r="D1140" s="12" t="n"/>
      <c r="E1140" s="12" t="n"/>
    </row>
    <row r="1141">
      <c r="D1141" s="12" t="n"/>
      <c r="E1141" s="12" t="n"/>
    </row>
    <row r="1142">
      <c r="D1142" s="12" t="n"/>
      <c r="E1142" s="12" t="n"/>
    </row>
    <row r="1143">
      <c r="D1143" s="12" t="n"/>
      <c r="E1143" s="12" t="n"/>
    </row>
    <row r="1144">
      <c r="D1144" s="12" t="n"/>
      <c r="E1144" s="12" t="n"/>
    </row>
    <row r="1145">
      <c r="D1145" s="12" t="n"/>
      <c r="E1145" s="12" t="n"/>
    </row>
    <row r="1146">
      <c r="D1146" s="12" t="n"/>
      <c r="E1146" s="12" t="n"/>
    </row>
    <row r="1147">
      <c r="D1147" s="12" t="n"/>
      <c r="E1147" s="12" t="n"/>
    </row>
    <row r="1148">
      <c r="D1148" s="12" t="n"/>
      <c r="E1148" s="12" t="n"/>
    </row>
    <row r="1149">
      <c r="D1149" s="12" t="n"/>
      <c r="E1149" s="12" t="n"/>
    </row>
    <row r="1150">
      <c r="D1150" s="12" t="n"/>
      <c r="E1150" s="12" t="n"/>
    </row>
    <row r="1151">
      <c r="D1151" s="12" t="n"/>
      <c r="E1151" s="12" t="n"/>
    </row>
    <row r="1152">
      <c r="D1152" s="12" t="n"/>
      <c r="E1152" s="12" t="n"/>
    </row>
    <row r="1153">
      <c r="D1153" s="12" t="n"/>
      <c r="E1153" s="12" t="n"/>
    </row>
    <row r="1154">
      <c r="D1154" s="12" t="n"/>
      <c r="E1154" s="12" t="n"/>
    </row>
    <row r="1155">
      <c r="D1155" s="12" t="n"/>
      <c r="E1155" s="12" t="n"/>
    </row>
    <row r="1156">
      <c r="D1156" s="12" t="n"/>
      <c r="E1156" s="12" t="n"/>
    </row>
    <row r="1157">
      <c r="D1157" s="12" t="n"/>
      <c r="E1157" s="12" t="n"/>
    </row>
    <row r="1158">
      <c r="D1158" s="12" t="n"/>
      <c r="E1158" s="12" t="n"/>
    </row>
    <row r="1159">
      <c r="D1159" s="12" t="n"/>
      <c r="E1159" s="12" t="n"/>
    </row>
    <row r="1160">
      <c r="D1160" s="12" t="n"/>
      <c r="E1160" s="12" t="n"/>
    </row>
    <row r="1161">
      <c r="D1161" s="12" t="n"/>
      <c r="E1161" s="12" t="n"/>
    </row>
    <row r="1162">
      <c r="D1162" s="12" t="n"/>
      <c r="E1162" s="12" t="n"/>
    </row>
    <row r="1163">
      <c r="D1163" s="12" t="n"/>
      <c r="E1163" s="12" t="n"/>
    </row>
    <row r="1164">
      <c r="D1164" s="12" t="n"/>
      <c r="E1164" s="12" t="n"/>
    </row>
    <row r="1165">
      <c r="D1165" s="12" t="n"/>
      <c r="E1165" s="12" t="n"/>
    </row>
    <row r="1166">
      <c r="D1166" s="12" t="n"/>
      <c r="E1166" s="12" t="n"/>
    </row>
    <row r="1167">
      <c r="D1167" s="12" t="n"/>
      <c r="E1167" s="12" t="n"/>
    </row>
    <row r="1168">
      <c r="D1168" s="12" t="n"/>
      <c r="E1168" s="12" t="n"/>
    </row>
    <row r="1169">
      <c r="D1169" s="12" t="n"/>
      <c r="E1169" s="12" t="n"/>
    </row>
    <row r="1170">
      <c r="D1170" s="12" t="n"/>
      <c r="E1170" s="12" t="n"/>
    </row>
    <row r="1171">
      <c r="D1171" s="12" t="n"/>
      <c r="E1171" s="12" t="n"/>
    </row>
    <row r="1172">
      <c r="D1172" s="12" t="n"/>
      <c r="E1172" s="12" t="n"/>
    </row>
    <row r="1173">
      <c r="D1173" s="12" t="n"/>
      <c r="E1173" s="12" t="n"/>
    </row>
    <row r="1174">
      <c r="D1174" s="12" t="n"/>
      <c r="E1174" s="12" t="n"/>
    </row>
    <row r="1175">
      <c r="D1175" s="12" t="n"/>
      <c r="E1175" s="12" t="n"/>
    </row>
    <row r="1176">
      <c r="D1176" s="12" t="n"/>
      <c r="E1176" s="12" t="n"/>
    </row>
    <row r="1177">
      <c r="D1177" s="12" t="n"/>
      <c r="E1177" s="12" t="n"/>
    </row>
    <row r="1178">
      <c r="D1178" s="12" t="n"/>
      <c r="E1178" s="12" t="n"/>
    </row>
    <row r="1179">
      <c r="D1179" s="12" t="n"/>
      <c r="E1179" s="12" t="n"/>
    </row>
    <row r="1180">
      <c r="D1180" s="12" t="n"/>
      <c r="E1180" s="12" t="n"/>
    </row>
    <row r="1181">
      <c r="D1181" s="12" t="n"/>
      <c r="E1181" s="12" t="n"/>
    </row>
    <row r="1182">
      <c r="D1182" s="12" t="n"/>
      <c r="E1182" s="12" t="n"/>
    </row>
    <row r="1183">
      <c r="D1183" s="12" t="n"/>
      <c r="E1183" s="12" t="n"/>
    </row>
    <row r="1184">
      <c r="D1184" s="12" t="n"/>
      <c r="E1184" s="12" t="n"/>
    </row>
    <row r="1185">
      <c r="D1185" s="12" t="n"/>
      <c r="E1185" s="12" t="n"/>
    </row>
    <row r="1186">
      <c r="D1186" s="12" t="n"/>
      <c r="E1186" s="12" t="n"/>
    </row>
    <row r="1187">
      <c r="D1187" s="12" t="n"/>
      <c r="E1187" s="12" t="n"/>
    </row>
    <row r="1188">
      <c r="D1188" s="12" t="n"/>
      <c r="E1188" s="12" t="n"/>
    </row>
    <row r="1189">
      <c r="D1189" s="12" t="n"/>
      <c r="E1189" s="12" t="n"/>
    </row>
    <row r="1190">
      <c r="D1190" s="12" t="n"/>
      <c r="E1190" s="12" t="n"/>
    </row>
    <row r="1191">
      <c r="D1191" s="12" t="n"/>
      <c r="E1191" s="12" t="n"/>
    </row>
    <row r="1192">
      <c r="D1192" s="12" t="n"/>
      <c r="E1192" s="12" t="n"/>
    </row>
    <row r="1193">
      <c r="D1193" s="12" t="n"/>
      <c r="E1193" s="12" t="n"/>
    </row>
    <row r="1194">
      <c r="D1194" s="12" t="n"/>
      <c r="E1194" s="12" t="n"/>
    </row>
    <row r="1195">
      <c r="D1195" s="12" t="n"/>
      <c r="E1195" s="12" t="n"/>
    </row>
    <row r="1196">
      <c r="D1196" s="12" t="n"/>
      <c r="E1196" s="12" t="n"/>
    </row>
    <row r="1197">
      <c r="D1197" s="12" t="n"/>
      <c r="E1197" s="12" t="n"/>
    </row>
    <row r="1198">
      <c r="D1198" s="12" t="n"/>
      <c r="E1198" s="12" t="n"/>
    </row>
    <row r="1199">
      <c r="D1199" s="12" t="n"/>
      <c r="E1199" s="12" t="n"/>
    </row>
    <row r="1200">
      <c r="D1200" s="12" t="n"/>
      <c r="E1200" s="12" t="n"/>
    </row>
    <row r="1201">
      <c r="D1201" s="12" t="n"/>
      <c r="E1201" s="12" t="n"/>
    </row>
    <row r="1202">
      <c r="D1202" s="12" t="n"/>
      <c r="E1202" s="12" t="n"/>
    </row>
    <row r="1203">
      <c r="D1203" s="12" t="n"/>
      <c r="E1203" s="12" t="n"/>
    </row>
    <row r="1204">
      <c r="D1204" s="12" t="n"/>
      <c r="E1204" s="12" t="n"/>
    </row>
    <row r="1205">
      <c r="D1205" s="12" t="n"/>
      <c r="E1205" s="12" t="n"/>
    </row>
    <row r="1206">
      <c r="D1206" s="12" t="n"/>
      <c r="E1206" s="12" t="n"/>
    </row>
    <row r="1207">
      <c r="D1207" s="12" t="n"/>
      <c r="E1207" s="12" t="n"/>
    </row>
    <row r="1208">
      <c r="D1208" s="12" t="n"/>
      <c r="E1208" s="12" t="n"/>
    </row>
    <row r="1209">
      <c r="D1209" s="12" t="n"/>
      <c r="E1209" s="12" t="n"/>
    </row>
    <row r="1210">
      <c r="D1210" s="12" t="n"/>
      <c r="E1210" s="12" t="n"/>
    </row>
    <row r="1211">
      <c r="D1211" s="12" t="n"/>
      <c r="E1211" s="12" t="n"/>
    </row>
    <row r="1212">
      <c r="D1212" s="12" t="n"/>
      <c r="E1212" s="12" t="n"/>
    </row>
    <row r="1213">
      <c r="D1213" s="12" t="n"/>
      <c r="E1213" s="12" t="n"/>
    </row>
    <row r="1214">
      <c r="D1214" s="12" t="n"/>
      <c r="E1214" s="12" t="n"/>
    </row>
    <row r="1215">
      <c r="D1215" s="12" t="n"/>
      <c r="E1215" s="12" t="n"/>
    </row>
    <row r="1216">
      <c r="D1216" s="12" t="n"/>
      <c r="E1216" s="12" t="n"/>
    </row>
    <row r="1217">
      <c r="D1217" s="12" t="n"/>
      <c r="E1217" s="12" t="n"/>
    </row>
    <row r="1218">
      <c r="D1218" s="12" t="n"/>
      <c r="E1218" s="12" t="n"/>
    </row>
    <row r="1219">
      <c r="D1219" s="12" t="n"/>
      <c r="E1219" s="12" t="n"/>
    </row>
    <row r="1220">
      <c r="D1220" s="12" t="n"/>
      <c r="E1220" s="12" t="n"/>
    </row>
    <row r="1221">
      <c r="D1221" s="12" t="n"/>
      <c r="E1221" s="12" t="n"/>
    </row>
    <row r="1222">
      <c r="D1222" s="12" t="n"/>
      <c r="E1222" s="12" t="n"/>
    </row>
    <row r="1223">
      <c r="D1223" s="12" t="n"/>
      <c r="E1223" s="12" t="n"/>
    </row>
    <row r="1224">
      <c r="D1224" s="12" t="n"/>
      <c r="E1224" s="12" t="n"/>
    </row>
    <row r="1225">
      <c r="D1225" s="12" t="n"/>
      <c r="E1225" s="12" t="n"/>
    </row>
    <row r="1226">
      <c r="D1226" s="12" t="n"/>
      <c r="E1226" s="12" t="n"/>
    </row>
    <row r="1227">
      <c r="D1227" s="12" t="n"/>
      <c r="E1227" s="12" t="n"/>
    </row>
    <row r="1228">
      <c r="D1228" s="12" t="n"/>
      <c r="E1228" s="12" t="n"/>
    </row>
    <row r="1229">
      <c r="D1229" s="12" t="n"/>
      <c r="E1229" s="12" t="n"/>
    </row>
    <row r="1230">
      <c r="D1230" s="12" t="n"/>
      <c r="E1230" s="12" t="n"/>
    </row>
    <row r="1231">
      <c r="D1231" s="12" t="n"/>
      <c r="E1231" s="12" t="n"/>
    </row>
    <row r="1232">
      <c r="D1232" s="12" t="n"/>
      <c r="E1232" s="12" t="n"/>
    </row>
    <row r="1233">
      <c r="D1233" s="12" t="n"/>
      <c r="E1233" s="12" t="n"/>
    </row>
    <row r="1234">
      <c r="D1234" s="12" t="n"/>
      <c r="E1234" s="12" t="n"/>
    </row>
    <row r="1235">
      <c r="D1235" s="12" t="n"/>
      <c r="E1235" s="12" t="n"/>
    </row>
    <row r="1236">
      <c r="D1236" s="12" t="n"/>
      <c r="E1236" s="12" t="n"/>
    </row>
    <row r="1237">
      <c r="D1237" s="12" t="n"/>
      <c r="E1237" s="12" t="n"/>
    </row>
    <row r="1238">
      <c r="D1238" s="12" t="n"/>
      <c r="E1238" s="12" t="n"/>
    </row>
    <row r="1239">
      <c r="D1239" s="12" t="n"/>
      <c r="E1239" s="12" t="n"/>
    </row>
    <row r="1240">
      <c r="D1240" s="12" t="n"/>
      <c r="E1240" s="12" t="n"/>
    </row>
    <row r="1241">
      <c r="D1241" s="12" t="n"/>
      <c r="E1241" s="12" t="n"/>
    </row>
    <row r="1242">
      <c r="D1242" s="12" t="n"/>
      <c r="E1242" s="12" t="n"/>
    </row>
    <row r="1243">
      <c r="D1243" s="12" t="n"/>
      <c r="E1243" s="12" t="n"/>
    </row>
    <row r="1244">
      <c r="D1244" s="12" t="n"/>
      <c r="E1244" s="12" t="n"/>
    </row>
    <row r="1245">
      <c r="D1245" s="12" t="n"/>
      <c r="E1245" s="12" t="n"/>
    </row>
    <row r="1246">
      <c r="D1246" s="12" t="n"/>
      <c r="E1246" s="12" t="n"/>
    </row>
    <row r="1247">
      <c r="D1247" s="12" t="n"/>
      <c r="E1247" s="12" t="n"/>
    </row>
    <row r="1248">
      <c r="D1248" s="12" t="n"/>
      <c r="E1248" s="12" t="n"/>
    </row>
    <row r="1249">
      <c r="D1249" s="12" t="n"/>
      <c r="E1249" s="12" t="n"/>
    </row>
    <row r="1250">
      <c r="D1250" s="12" t="n"/>
      <c r="E1250" s="12" t="n"/>
    </row>
    <row r="1251">
      <c r="D1251" s="12" t="n"/>
      <c r="E1251" s="12" t="n"/>
    </row>
    <row r="1252">
      <c r="D1252" s="12" t="n"/>
      <c r="E1252" s="12" t="n"/>
    </row>
    <row r="1253">
      <c r="D1253" s="12" t="n"/>
      <c r="E1253" s="12" t="n"/>
    </row>
    <row r="1254">
      <c r="D1254" s="12" t="n"/>
      <c r="E1254" s="12" t="n"/>
    </row>
    <row r="1255">
      <c r="D1255" s="12" t="n"/>
      <c r="E1255" s="12" t="n"/>
    </row>
    <row r="1256">
      <c r="D1256" s="12" t="n"/>
      <c r="E1256" s="12" t="n"/>
    </row>
    <row r="1257">
      <c r="D1257" s="12" t="n"/>
      <c r="E1257" s="12" t="n"/>
    </row>
    <row r="1258">
      <c r="D1258" s="12" t="n"/>
      <c r="E1258" s="12" t="n"/>
    </row>
    <row r="1259">
      <c r="D1259" s="12" t="n"/>
      <c r="E1259" s="12" t="n"/>
    </row>
    <row r="1260">
      <c r="D1260" s="12" t="n"/>
      <c r="E1260" s="12" t="n"/>
    </row>
    <row r="1261">
      <c r="D1261" s="12" t="n"/>
      <c r="E1261" s="12" t="n"/>
    </row>
    <row r="1262">
      <c r="D1262" s="12" t="n"/>
      <c r="E1262" s="12" t="n"/>
    </row>
    <row r="1263">
      <c r="D1263" s="12" t="n"/>
      <c r="E1263" s="12" t="n"/>
    </row>
    <row r="1264">
      <c r="D1264" s="12" t="n"/>
      <c r="E1264" s="12" t="n"/>
    </row>
    <row r="1265">
      <c r="D1265" s="12" t="n"/>
      <c r="E1265" s="12" t="n"/>
    </row>
    <row r="1266">
      <c r="D1266" s="12" t="n"/>
      <c r="E1266" s="12" t="n"/>
    </row>
    <row r="1267">
      <c r="D1267" s="12" t="n"/>
      <c r="E1267" s="12" t="n"/>
    </row>
    <row r="1268">
      <c r="D1268" s="12" t="n"/>
      <c r="E1268" s="12" t="n"/>
    </row>
    <row r="1269">
      <c r="D1269" s="12" t="n"/>
      <c r="E1269" s="12" t="n"/>
    </row>
    <row r="1270">
      <c r="D1270" s="12" t="n"/>
      <c r="E1270" s="12" t="n"/>
    </row>
    <row r="1271">
      <c r="D1271" s="12" t="n"/>
      <c r="E1271" s="12" t="n"/>
    </row>
    <row r="1272">
      <c r="D1272" s="12" t="n"/>
      <c r="E1272" s="12" t="n"/>
    </row>
    <row r="1273">
      <c r="D1273" s="12" t="n"/>
      <c r="E1273" s="12" t="n"/>
    </row>
    <row r="1274">
      <c r="D1274" s="12" t="n"/>
      <c r="E1274" s="12" t="n"/>
    </row>
    <row r="1275">
      <c r="D1275" s="12" t="n"/>
      <c r="E1275" s="12" t="n"/>
    </row>
    <row r="1276">
      <c r="D1276" s="12" t="n"/>
      <c r="E1276" s="12" t="n"/>
    </row>
    <row r="1277">
      <c r="D1277" s="12" t="n"/>
      <c r="E1277" s="12" t="n"/>
    </row>
    <row r="1278">
      <c r="D1278" s="12" t="n"/>
      <c r="E1278" s="12" t="n"/>
    </row>
    <row r="1279">
      <c r="D1279" s="12" t="n"/>
      <c r="E1279" s="12" t="n"/>
    </row>
    <row r="1280">
      <c r="D1280" s="12" t="n"/>
      <c r="E1280" s="12" t="n"/>
    </row>
    <row r="1281">
      <c r="D1281" s="12" t="n"/>
      <c r="E1281" s="12" t="n"/>
    </row>
    <row r="1282">
      <c r="D1282" s="12" t="n"/>
      <c r="E1282" s="12" t="n"/>
    </row>
    <row r="1283">
      <c r="D1283" s="12" t="n"/>
      <c r="E1283" s="12" t="n"/>
    </row>
    <row r="1284">
      <c r="D1284" s="12" t="n"/>
      <c r="E1284" s="12" t="n"/>
    </row>
    <row r="1285">
      <c r="D1285" s="12" t="n"/>
      <c r="E1285" s="12" t="n"/>
    </row>
    <row r="1286">
      <c r="D1286" s="12" t="n"/>
      <c r="E1286" s="12" t="n"/>
    </row>
    <row r="1287">
      <c r="D1287" s="12" t="n"/>
      <c r="E1287" s="12" t="n"/>
    </row>
    <row r="1288">
      <c r="D1288" s="12" t="n"/>
      <c r="E1288" s="12" t="n"/>
    </row>
    <row r="1289">
      <c r="D1289" s="12" t="n"/>
      <c r="E1289" s="12" t="n"/>
    </row>
    <row r="1290">
      <c r="D1290" s="12" t="n"/>
      <c r="E1290" s="12" t="n"/>
    </row>
    <row r="1291">
      <c r="D1291" s="12" t="n"/>
      <c r="E1291" s="12" t="n"/>
    </row>
    <row r="1292">
      <c r="D1292" s="12" t="n"/>
      <c r="E1292" s="12" t="n"/>
    </row>
    <row r="1293">
      <c r="D1293" s="12" t="n"/>
      <c r="E1293" s="12" t="n"/>
    </row>
    <row r="1294">
      <c r="D1294" s="12" t="n"/>
      <c r="E1294" s="12" t="n"/>
    </row>
    <row r="1295">
      <c r="D1295" s="12" t="n"/>
      <c r="E1295" s="12" t="n"/>
    </row>
    <row r="1296">
      <c r="D1296" s="12" t="n"/>
      <c r="E1296" s="12" t="n"/>
    </row>
    <row r="1297">
      <c r="D1297" s="12" t="n"/>
      <c r="E1297" s="12" t="n"/>
    </row>
    <row r="1298">
      <c r="D1298" s="12" t="n"/>
      <c r="E1298" s="12" t="n"/>
    </row>
    <row r="1299">
      <c r="D1299" s="12" t="n"/>
      <c r="E1299" s="12" t="n"/>
    </row>
    <row r="1300">
      <c r="D1300" s="12" t="n"/>
      <c r="E1300" s="12" t="n"/>
    </row>
    <row r="1301">
      <c r="D1301" s="12" t="n"/>
      <c r="E1301" s="12" t="n"/>
    </row>
    <row r="1302">
      <c r="D1302" s="12" t="n"/>
      <c r="E1302" s="12" t="n"/>
    </row>
    <row r="1303">
      <c r="D1303" s="12" t="n"/>
      <c r="E1303" s="12" t="n"/>
    </row>
    <row r="1304">
      <c r="D1304" s="12" t="n"/>
      <c r="E1304" s="12" t="n"/>
    </row>
    <row r="1305">
      <c r="D1305" s="12" t="n"/>
      <c r="E1305" s="12" t="n"/>
    </row>
    <row r="1306">
      <c r="D1306" s="12" t="n"/>
      <c r="E1306" s="12" t="n"/>
    </row>
    <row r="1307">
      <c r="D1307" s="12" t="n"/>
      <c r="E1307" s="12" t="n"/>
    </row>
    <row r="1308">
      <c r="D1308" s="12" t="n"/>
      <c r="E1308" s="12" t="n"/>
    </row>
    <row r="1309">
      <c r="D1309" s="12" t="n"/>
      <c r="E1309" s="12" t="n"/>
    </row>
    <row r="1310">
      <c r="D1310" s="12" t="n"/>
      <c r="E1310" s="12" t="n"/>
    </row>
    <row r="1311">
      <c r="D1311" s="12" t="n"/>
      <c r="E1311" s="12" t="n"/>
    </row>
    <row r="1312">
      <c r="D1312" s="12" t="n"/>
      <c r="E1312" s="12" t="n"/>
    </row>
    <row r="1313">
      <c r="D1313" s="12" t="n"/>
      <c r="E1313" s="12" t="n"/>
    </row>
    <row r="1314">
      <c r="D1314" s="12" t="n"/>
      <c r="E1314" s="12" t="n"/>
    </row>
    <row r="1315">
      <c r="D1315" s="12" t="n"/>
      <c r="E1315" s="12" t="n"/>
    </row>
    <row r="1316">
      <c r="D1316" s="12" t="n"/>
      <c r="E1316" s="12" t="n"/>
    </row>
    <row r="1317">
      <c r="D1317" s="12" t="n"/>
      <c r="E1317" s="12" t="n"/>
    </row>
    <row r="1318">
      <c r="D1318" s="12" t="n"/>
      <c r="E1318" s="12" t="n"/>
    </row>
    <row r="1319">
      <c r="D1319" s="12" t="n"/>
      <c r="E1319" s="12" t="n"/>
    </row>
    <row r="1320">
      <c r="D1320" s="12" t="n"/>
      <c r="E1320" s="12" t="n"/>
    </row>
    <row r="1321">
      <c r="D1321" s="12" t="n"/>
      <c r="E1321" s="12" t="n"/>
    </row>
    <row r="1322">
      <c r="D1322" s="12" t="n"/>
      <c r="E1322" s="12" t="n"/>
    </row>
    <row r="1323">
      <c r="D1323" s="12" t="n"/>
      <c r="E1323" s="12" t="n"/>
    </row>
    <row r="1324">
      <c r="D1324" s="12" t="n"/>
      <c r="E1324" s="12" t="n"/>
    </row>
    <row r="1325">
      <c r="D1325" s="12" t="n"/>
      <c r="E1325" s="12" t="n"/>
    </row>
    <row r="1326">
      <c r="D1326" s="12" t="n"/>
      <c r="E1326" s="12" t="n"/>
    </row>
    <row r="1327">
      <c r="D1327" s="12" t="n"/>
      <c r="E1327" s="12" t="n"/>
    </row>
    <row r="1328">
      <c r="D1328" s="12" t="n"/>
      <c r="E1328" s="12" t="n"/>
    </row>
    <row r="1329">
      <c r="D1329" s="12" t="n"/>
      <c r="E1329" s="12" t="n"/>
    </row>
    <row r="1330">
      <c r="D1330" s="12" t="n"/>
      <c r="E1330" s="12" t="n"/>
    </row>
    <row r="1331">
      <c r="D1331" s="12" t="n"/>
      <c r="E1331" s="12" t="n"/>
    </row>
    <row r="1332">
      <c r="D1332" s="12" t="n"/>
      <c r="E1332" s="12" t="n"/>
    </row>
    <row r="1333">
      <c r="D1333" s="12" t="n"/>
      <c r="E1333" s="12" t="n"/>
    </row>
    <row r="1334">
      <c r="D1334" s="12" t="n"/>
      <c r="E1334" s="12" t="n"/>
    </row>
    <row r="1335">
      <c r="D1335" s="12" t="n"/>
      <c r="E1335" s="12" t="n"/>
    </row>
    <row r="1336">
      <c r="D1336" s="12" t="n"/>
      <c r="E1336" s="12" t="n"/>
    </row>
    <row r="1337">
      <c r="D1337" s="12" t="n"/>
      <c r="E1337" s="12" t="n"/>
    </row>
    <row r="1338">
      <c r="D1338" s="12" t="n"/>
      <c r="E1338" s="12" t="n"/>
    </row>
    <row r="1339">
      <c r="D1339" s="12" t="n"/>
      <c r="E1339" s="12" t="n"/>
    </row>
    <row r="1340">
      <c r="D1340" s="12" t="n"/>
      <c r="E1340" s="12" t="n"/>
    </row>
    <row r="1341">
      <c r="D1341" s="12" t="n"/>
      <c r="E1341" s="12" t="n"/>
    </row>
    <row r="1342">
      <c r="D1342" s="12" t="n"/>
      <c r="E1342" s="12" t="n"/>
    </row>
    <row r="1343">
      <c r="D1343" s="12" t="n"/>
      <c r="E1343" s="12" t="n"/>
    </row>
    <row r="1344">
      <c r="D1344" s="12" t="n"/>
      <c r="E1344" s="12" t="n"/>
    </row>
    <row r="1345">
      <c r="D1345" s="12" t="n"/>
      <c r="E1345" s="12" t="n"/>
    </row>
    <row r="1346">
      <c r="D1346" s="12" t="n"/>
      <c r="E1346" s="12" t="n"/>
    </row>
    <row r="1347">
      <c r="D1347" s="12" t="n"/>
      <c r="E1347" s="12" t="n"/>
    </row>
    <row r="1348">
      <c r="D1348" s="12" t="n"/>
      <c r="E1348" s="12" t="n"/>
    </row>
    <row r="1349">
      <c r="D1349" s="12" t="n"/>
      <c r="E1349" s="12" t="n"/>
    </row>
    <row r="1350">
      <c r="D1350" s="12" t="n"/>
      <c r="E1350" s="12" t="n"/>
    </row>
    <row r="1351">
      <c r="D1351" s="12" t="n"/>
      <c r="E1351" s="12" t="n"/>
    </row>
    <row r="1352">
      <c r="D1352" s="12" t="n"/>
      <c r="E1352" s="12" t="n"/>
    </row>
    <row r="1353">
      <c r="D1353" s="12" t="n"/>
      <c r="E1353" s="12" t="n"/>
    </row>
    <row r="1354">
      <c r="D1354" s="12" t="n"/>
      <c r="E1354" s="12" t="n"/>
    </row>
    <row r="1355">
      <c r="D1355" s="12" t="n"/>
      <c r="E1355" s="12" t="n"/>
    </row>
    <row r="1356">
      <c r="D1356" s="12" t="n"/>
      <c r="E1356" s="12" t="n"/>
    </row>
    <row r="1357">
      <c r="D1357" s="12" t="n"/>
      <c r="E1357" s="12" t="n"/>
    </row>
    <row r="1358">
      <c r="D1358" s="12" t="n"/>
      <c r="E1358" s="12" t="n"/>
    </row>
    <row r="1359">
      <c r="D1359" s="12" t="n"/>
      <c r="E1359" s="12" t="n"/>
    </row>
    <row r="1360">
      <c r="D1360" s="12" t="n"/>
      <c r="E1360" s="12" t="n"/>
    </row>
    <row r="1361">
      <c r="D1361" s="12" t="n"/>
      <c r="E1361" s="12" t="n"/>
    </row>
    <row r="1362">
      <c r="D1362" s="12" t="n"/>
      <c r="E1362" s="12" t="n"/>
    </row>
    <row r="1363">
      <c r="D1363" s="12" t="n"/>
      <c r="E1363" s="12" t="n"/>
    </row>
    <row r="1364">
      <c r="D1364" s="12" t="n"/>
      <c r="E1364" s="12" t="n"/>
    </row>
    <row r="1365">
      <c r="D1365" s="12" t="n"/>
      <c r="E1365" s="12" t="n"/>
    </row>
    <row r="1366">
      <c r="D1366" s="12" t="n"/>
      <c r="E1366" s="12" t="n"/>
    </row>
    <row r="1367">
      <c r="D1367" s="12" t="n"/>
      <c r="E1367" s="12" t="n"/>
    </row>
    <row r="1368">
      <c r="D1368" s="12" t="n"/>
      <c r="E1368" s="12" t="n"/>
    </row>
    <row r="1369">
      <c r="D1369" s="12" t="n"/>
      <c r="E1369" s="12" t="n"/>
    </row>
    <row r="1370">
      <c r="D1370" s="12" t="n"/>
      <c r="E1370" s="12" t="n"/>
    </row>
    <row r="1371">
      <c r="D1371" s="12" t="n"/>
      <c r="E1371" s="12" t="n"/>
    </row>
    <row r="1372">
      <c r="D1372" s="12" t="n"/>
      <c r="E1372" s="12" t="n"/>
    </row>
    <row r="1373">
      <c r="D1373" s="12" t="n"/>
      <c r="E1373" s="12" t="n"/>
    </row>
    <row r="1374">
      <c r="D1374" s="12" t="n"/>
      <c r="E1374" s="12" t="n"/>
    </row>
    <row r="1375">
      <c r="D1375" s="12" t="n"/>
      <c r="E1375" s="12" t="n"/>
    </row>
    <row r="1376">
      <c r="D1376" s="12" t="n"/>
      <c r="E1376" s="12" t="n"/>
    </row>
    <row r="1377">
      <c r="D1377" s="12" t="n"/>
      <c r="E1377" s="12" t="n"/>
    </row>
    <row r="1378">
      <c r="D1378" s="12" t="n"/>
      <c r="E1378" s="12" t="n"/>
    </row>
    <row r="1379">
      <c r="D1379" s="12" t="n"/>
      <c r="E1379" s="12" t="n"/>
    </row>
    <row r="1380">
      <c r="D1380" s="12" t="n"/>
      <c r="E1380" s="12" t="n"/>
    </row>
    <row r="1381">
      <c r="D1381" s="12" t="n"/>
      <c r="E1381" s="12" t="n"/>
    </row>
    <row r="1382">
      <c r="D1382" s="12" t="n"/>
      <c r="E1382" s="12" t="n"/>
    </row>
    <row r="1383">
      <c r="D1383" s="12" t="n"/>
      <c r="E1383" s="12" t="n"/>
    </row>
    <row r="1384">
      <c r="D1384" s="12" t="n"/>
      <c r="E1384" s="12" t="n"/>
    </row>
    <row r="1385">
      <c r="D1385" s="12" t="n"/>
      <c r="E1385" s="12" t="n"/>
    </row>
    <row r="1386">
      <c r="D1386" s="12" t="n"/>
      <c r="E1386" s="12" t="n"/>
    </row>
    <row r="1387">
      <c r="D1387" s="12" t="n"/>
      <c r="E1387" s="12" t="n"/>
    </row>
    <row r="1388">
      <c r="D1388" s="12" t="n"/>
      <c r="E1388" s="12" t="n"/>
    </row>
    <row r="1389">
      <c r="D1389" s="12" t="n"/>
      <c r="E1389" s="12" t="n"/>
    </row>
    <row r="1390">
      <c r="D1390" s="12" t="n"/>
      <c r="E1390" s="12" t="n"/>
    </row>
    <row r="1391">
      <c r="D1391" s="12" t="n"/>
      <c r="E1391" s="12" t="n"/>
    </row>
    <row r="1392">
      <c r="D1392" s="12" t="n"/>
      <c r="E1392" s="12" t="n"/>
    </row>
    <row r="1393">
      <c r="D1393" s="12" t="n"/>
      <c r="E1393" s="12" t="n"/>
    </row>
    <row r="1394">
      <c r="D1394" s="12" t="n"/>
      <c r="E1394" s="12" t="n"/>
    </row>
    <row r="1395">
      <c r="D1395" s="12" t="n"/>
      <c r="E1395" s="12" t="n"/>
    </row>
    <row r="1396">
      <c r="D1396" s="12" t="n"/>
      <c r="E1396" s="12" t="n"/>
    </row>
    <row r="1397">
      <c r="D1397" s="12" t="n"/>
      <c r="E1397" s="12" t="n"/>
    </row>
    <row r="1398">
      <c r="D1398" s="12" t="n"/>
      <c r="E1398" s="12" t="n"/>
    </row>
    <row r="1399">
      <c r="D1399" s="12" t="n"/>
      <c r="E1399" s="12" t="n"/>
    </row>
    <row r="1400">
      <c r="D1400" s="12" t="n"/>
      <c r="E1400" s="12" t="n"/>
    </row>
    <row r="1401">
      <c r="D1401" s="12" t="n"/>
      <c r="E1401" s="12" t="n"/>
    </row>
    <row r="1402">
      <c r="D1402" s="12" t="n"/>
      <c r="E1402" s="12" t="n"/>
    </row>
    <row r="1403">
      <c r="D1403" s="12" t="n"/>
      <c r="E1403" s="12" t="n"/>
    </row>
    <row r="1404">
      <c r="D1404" s="12" t="n"/>
      <c r="E1404" s="12" t="n"/>
    </row>
    <row r="1405">
      <c r="D1405" s="12" t="n"/>
      <c r="E1405" s="12" t="n"/>
    </row>
    <row r="1406">
      <c r="D1406" s="12" t="n"/>
      <c r="E1406" s="12" t="n"/>
    </row>
    <row r="1407">
      <c r="D1407" s="12" t="n"/>
      <c r="E1407" s="12" t="n"/>
    </row>
    <row r="1408">
      <c r="D1408" s="12" t="n"/>
      <c r="E1408" s="12" t="n"/>
    </row>
    <row r="1409">
      <c r="D1409" s="12" t="n"/>
      <c r="E1409" s="12" t="n"/>
    </row>
    <row r="1410">
      <c r="D1410" s="12" t="n"/>
      <c r="E1410" s="12" t="n"/>
    </row>
    <row r="1411">
      <c r="D1411" s="12" t="n"/>
      <c r="E1411" s="12" t="n"/>
    </row>
    <row r="1412">
      <c r="D1412" s="12" t="n"/>
      <c r="E1412" s="12" t="n"/>
    </row>
    <row r="1413">
      <c r="D1413" s="12" t="n"/>
      <c r="E1413" s="12" t="n"/>
    </row>
    <row r="1414">
      <c r="D1414" s="12" t="n"/>
      <c r="E1414" s="12" t="n"/>
    </row>
    <row r="1415">
      <c r="D1415" s="12" t="n"/>
      <c r="E1415" s="12" t="n"/>
    </row>
    <row r="1416">
      <c r="D1416" s="12" t="n"/>
      <c r="E1416" s="12" t="n"/>
    </row>
    <row r="1417">
      <c r="D1417" s="12" t="n"/>
      <c r="E1417" s="12" t="n"/>
    </row>
    <row r="1418">
      <c r="D1418" s="12" t="n"/>
      <c r="E1418" s="12" t="n"/>
    </row>
    <row r="1419">
      <c r="D1419" s="12" t="n"/>
      <c r="E1419" s="12" t="n"/>
    </row>
    <row r="1420">
      <c r="D1420" s="12" t="n"/>
      <c r="E1420" s="12" t="n"/>
    </row>
    <row r="1421">
      <c r="D1421" s="12" t="n"/>
      <c r="E1421" s="12" t="n"/>
    </row>
    <row r="1422">
      <c r="D1422" s="12" t="n"/>
      <c r="E1422" s="12" t="n"/>
    </row>
    <row r="1423">
      <c r="D1423" s="12" t="n"/>
      <c r="E1423" s="12" t="n"/>
    </row>
    <row r="1424">
      <c r="D1424" s="12" t="n"/>
      <c r="E1424" s="12" t="n"/>
    </row>
    <row r="1425">
      <c r="D1425" s="12" t="n"/>
      <c r="E1425" s="12" t="n"/>
    </row>
    <row r="1426">
      <c r="D1426" s="12" t="n"/>
      <c r="E1426" s="12" t="n"/>
    </row>
    <row r="1427">
      <c r="D1427" s="12" t="n"/>
      <c r="E1427" s="12" t="n"/>
    </row>
    <row r="1428">
      <c r="D1428" s="12" t="n"/>
      <c r="E1428" s="12" t="n"/>
    </row>
    <row r="1429">
      <c r="D1429" s="12" t="n"/>
      <c r="E1429" s="12" t="n"/>
    </row>
    <row r="1430">
      <c r="D1430" s="12" t="n"/>
      <c r="E1430" s="12" t="n"/>
    </row>
    <row r="1431">
      <c r="D1431" s="12" t="n"/>
      <c r="E1431" s="12" t="n"/>
    </row>
    <row r="1432">
      <c r="D1432" s="12" t="n"/>
      <c r="E1432" s="12" t="n"/>
    </row>
    <row r="1433">
      <c r="D1433" s="12" t="n"/>
      <c r="E1433" s="12" t="n"/>
    </row>
    <row r="1434">
      <c r="D1434" s="12" t="n"/>
      <c r="E1434" s="12" t="n"/>
    </row>
    <row r="1435">
      <c r="D1435" s="12" t="n"/>
      <c r="E1435" s="12" t="n"/>
    </row>
    <row r="1436">
      <c r="D1436" s="12" t="n"/>
      <c r="E1436" s="12" t="n"/>
    </row>
    <row r="1437">
      <c r="D1437" s="12" t="n"/>
      <c r="E1437" s="12" t="n"/>
    </row>
    <row r="1438">
      <c r="D1438" s="12" t="n"/>
      <c r="E1438" s="12" t="n"/>
    </row>
    <row r="1439">
      <c r="D1439" s="12" t="n"/>
      <c r="E1439" s="12" t="n"/>
    </row>
    <row r="1440">
      <c r="D1440" s="12" t="n"/>
      <c r="E1440" s="12" t="n"/>
    </row>
    <row r="1441">
      <c r="D1441" s="12" t="n"/>
      <c r="E1441" s="12" t="n"/>
    </row>
    <row r="1442">
      <c r="D1442" s="12" t="n"/>
      <c r="E1442" s="12" t="n"/>
    </row>
    <row r="1443">
      <c r="D1443" s="12" t="n"/>
      <c r="E1443" s="12" t="n"/>
    </row>
    <row r="1444">
      <c r="D1444" s="12" t="n"/>
      <c r="E1444" s="12" t="n"/>
    </row>
    <row r="1445">
      <c r="D1445" s="12" t="n"/>
      <c r="E1445" s="12" t="n"/>
    </row>
    <row r="1446">
      <c r="D1446" s="12" t="n"/>
      <c r="E1446" s="12" t="n"/>
    </row>
    <row r="1447">
      <c r="D1447" s="12" t="n"/>
      <c r="E1447" s="12" t="n"/>
    </row>
    <row r="1448">
      <c r="D1448" s="12" t="n"/>
      <c r="E1448" s="12" t="n"/>
    </row>
    <row r="1449">
      <c r="D1449" s="12" t="n"/>
      <c r="E1449" s="12" t="n"/>
    </row>
    <row r="1450">
      <c r="D1450" s="12" t="n"/>
      <c r="E1450" s="12" t="n"/>
    </row>
    <row r="1451">
      <c r="D1451" s="12" t="n"/>
      <c r="E1451" s="12" t="n"/>
    </row>
    <row r="1452">
      <c r="D1452" s="12" t="n"/>
      <c r="E1452" s="12" t="n"/>
    </row>
    <row r="1453">
      <c r="D1453" s="12" t="n"/>
      <c r="E1453" s="12" t="n"/>
    </row>
    <row r="1454">
      <c r="D1454" s="12" t="n"/>
      <c r="E1454" s="12" t="n"/>
    </row>
    <row r="1455">
      <c r="D1455" s="12" t="n"/>
      <c r="E1455" s="12" t="n"/>
    </row>
    <row r="1456">
      <c r="D1456" s="12" t="n"/>
      <c r="E1456" s="12" t="n"/>
    </row>
    <row r="1457">
      <c r="D1457" s="12" t="n"/>
      <c r="E1457" s="12" t="n"/>
    </row>
    <row r="1458">
      <c r="D1458" s="12" t="n"/>
      <c r="E1458" s="12" t="n"/>
    </row>
    <row r="1459">
      <c r="D1459" s="12" t="n"/>
      <c r="E1459" s="12" t="n"/>
    </row>
    <row r="1460">
      <c r="D1460" s="12" t="n"/>
      <c r="E1460" s="12" t="n"/>
    </row>
    <row r="1461">
      <c r="D1461" s="12" t="n"/>
      <c r="E1461" s="12" t="n"/>
    </row>
    <row r="1462">
      <c r="D1462" s="12" t="n"/>
      <c r="E1462" s="12" t="n"/>
    </row>
    <row r="1463">
      <c r="D1463" s="12" t="n"/>
      <c r="E1463" s="12" t="n"/>
    </row>
    <row r="1464">
      <c r="D1464" s="12" t="n"/>
      <c r="E1464" s="12" t="n"/>
    </row>
    <row r="1465">
      <c r="D1465" s="12" t="n"/>
      <c r="E1465" s="12" t="n"/>
    </row>
    <row r="1466">
      <c r="D1466" s="12" t="n"/>
      <c r="E1466" s="12" t="n"/>
    </row>
    <row r="1467">
      <c r="D1467" s="12" t="n"/>
      <c r="E1467" s="12" t="n"/>
    </row>
    <row r="1468">
      <c r="D1468" s="12" t="n"/>
      <c r="E1468" s="12" t="n"/>
    </row>
    <row r="1469">
      <c r="D1469" s="12" t="n"/>
      <c r="E1469" s="12" t="n"/>
    </row>
    <row r="1470">
      <c r="D1470" s="12" t="n"/>
      <c r="E1470" s="12" t="n"/>
    </row>
    <row r="1471">
      <c r="D1471" s="12" t="n"/>
      <c r="E1471" s="12" t="n"/>
    </row>
    <row r="1472">
      <c r="D1472" s="12" t="n"/>
      <c r="E1472" s="12" t="n"/>
    </row>
    <row r="1473">
      <c r="D1473" s="12" t="n"/>
      <c r="E1473" s="12" t="n"/>
    </row>
    <row r="1474">
      <c r="D1474" s="12" t="n"/>
      <c r="E1474" s="12" t="n"/>
    </row>
    <row r="1475">
      <c r="D1475" s="12" t="n"/>
      <c r="E1475" s="12" t="n"/>
    </row>
    <row r="1476">
      <c r="D1476" s="12" t="n"/>
      <c r="E1476" s="12" t="n"/>
    </row>
    <row r="1477">
      <c r="D1477" s="12" t="n"/>
      <c r="E1477" s="12" t="n"/>
    </row>
    <row r="1478">
      <c r="D1478" s="12" t="n"/>
      <c r="E1478" s="12" t="n"/>
    </row>
    <row r="1479">
      <c r="D1479" s="12" t="n"/>
      <c r="E1479" s="12" t="n"/>
    </row>
    <row r="1480">
      <c r="D1480" s="12" t="n"/>
      <c r="E1480" s="12" t="n"/>
    </row>
    <row r="1481">
      <c r="D1481" s="12" t="n"/>
      <c r="E1481" s="12" t="n"/>
    </row>
    <row r="1482">
      <c r="D1482" s="12" t="n"/>
      <c r="E1482" s="12" t="n"/>
    </row>
    <row r="1483">
      <c r="D1483" s="12" t="n"/>
      <c r="E1483" s="12" t="n"/>
    </row>
    <row r="1484">
      <c r="D1484" s="12" t="n"/>
      <c r="E1484" s="12" t="n"/>
    </row>
    <row r="1485">
      <c r="D1485" s="12" t="n"/>
      <c r="E1485" s="12" t="n"/>
    </row>
    <row r="1486">
      <c r="D1486" s="12" t="n"/>
      <c r="E1486" s="12" t="n"/>
    </row>
    <row r="1487">
      <c r="D1487" s="12" t="n"/>
      <c r="E1487" s="12" t="n"/>
    </row>
    <row r="1488">
      <c r="D1488" s="12" t="n"/>
      <c r="E1488" s="12" t="n"/>
    </row>
    <row r="1489">
      <c r="D1489" s="12" t="n"/>
      <c r="E1489" s="12" t="n"/>
    </row>
    <row r="1490">
      <c r="D1490" s="12" t="n"/>
      <c r="E1490" s="12" t="n"/>
    </row>
    <row r="1491">
      <c r="D1491" s="12" t="n"/>
      <c r="E1491" s="12" t="n"/>
    </row>
    <row r="1492">
      <c r="D1492" s="12" t="n"/>
      <c r="E1492" s="12" t="n"/>
    </row>
    <row r="1493">
      <c r="D1493" s="12" t="n"/>
      <c r="E1493" s="12" t="n"/>
    </row>
    <row r="1494">
      <c r="D1494" s="12" t="n"/>
      <c r="E1494" s="12" t="n"/>
    </row>
    <row r="1495">
      <c r="D1495" s="12" t="n"/>
      <c r="E1495" s="12" t="n"/>
    </row>
    <row r="1496">
      <c r="D1496" s="12" t="n"/>
      <c r="E1496" s="12" t="n"/>
    </row>
    <row r="1497">
      <c r="D1497" s="12" t="n"/>
      <c r="E1497" s="12" t="n"/>
    </row>
    <row r="1498">
      <c r="D1498" s="12" t="n"/>
      <c r="E1498" s="12" t="n"/>
    </row>
    <row r="1499">
      <c r="D1499" s="12" t="n"/>
      <c r="E1499" s="12" t="n"/>
    </row>
    <row r="1500">
      <c r="D1500" s="12" t="n"/>
      <c r="E1500" s="12" t="n"/>
    </row>
    <row r="1501">
      <c r="D1501" s="12" t="n"/>
      <c r="E1501" s="12" t="n"/>
    </row>
    <row r="1502">
      <c r="D1502" s="12" t="n"/>
      <c r="E1502" s="12" t="n"/>
    </row>
    <row r="1503">
      <c r="D1503" s="12" t="n"/>
      <c r="E1503" s="12" t="n"/>
    </row>
    <row r="1504">
      <c r="D1504" s="12" t="n"/>
      <c r="E1504" s="12" t="n"/>
    </row>
    <row r="1505">
      <c r="D1505" s="12" t="n"/>
      <c r="E1505" s="12" t="n"/>
    </row>
    <row r="1506">
      <c r="D1506" s="12" t="n"/>
      <c r="E1506" s="12" t="n"/>
    </row>
    <row r="1507">
      <c r="D1507" s="12" t="n"/>
      <c r="E1507" s="12" t="n"/>
    </row>
    <row r="1508">
      <c r="D1508" s="12" t="n"/>
      <c r="E1508" s="12" t="n"/>
    </row>
    <row r="1509">
      <c r="D1509" s="12" t="n"/>
      <c r="E1509" s="12" t="n"/>
    </row>
    <row r="1510">
      <c r="D1510" s="12" t="n"/>
      <c r="E1510" s="12" t="n"/>
    </row>
    <row r="1511">
      <c r="D1511" s="12" t="n"/>
      <c r="E1511" s="12" t="n"/>
    </row>
    <row r="1512">
      <c r="D1512" s="12" t="n"/>
      <c r="E1512" s="12" t="n"/>
    </row>
    <row r="1513">
      <c r="D1513" s="12" t="n"/>
      <c r="E1513" s="12" t="n"/>
    </row>
    <row r="1514">
      <c r="D1514" s="12" t="n"/>
      <c r="E1514" s="12" t="n"/>
    </row>
    <row r="1515">
      <c r="D1515" s="12" t="n"/>
      <c r="E1515" s="12" t="n"/>
    </row>
    <row r="1516">
      <c r="D1516" s="12" t="n"/>
      <c r="E1516" s="12" t="n"/>
    </row>
    <row r="1517">
      <c r="D1517" s="12" t="n"/>
      <c r="E1517" s="12" t="n"/>
    </row>
    <row r="1518">
      <c r="D1518" s="12" t="n"/>
      <c r="E1518" s="12" t="n"/>
    </row>
    <row r="1519">
      <c r="D1519" s="12" t="n"/>
      <c r="E1519" s="12" t="n"/>
    </row>
    <row r="1520">
      <c r="D1520" s="12" t="n"/>
      <c r="E1520" s="12" t="n"/>
    </row>
    <row r="1521">
      <c r="D1521" s="12" t="n"/>
      <c r="E1521" s="12" t="n"/>
    </row>
    <row r="1522">
      <c r="D1522" s="12" t="n"/>
      <c r="E1522" s="12" t="n"/>
    </row>
    <row r="1523">
      <c r="D1523" s="12" t="n"/>
      <c r="E1523" s="12" t="n"/>
    </row>
    <row r="1524">
      <c r="D1524" s="12" t="n"/>
      <c r="E1524" s="12" t="n"/>
    </row>
    <row r="1525">
      <c r="D1525" s="12" t="n"/>
      <c r="E1525" s="12" t="n"/>
    </row>
    <row r="1526">
      <c r="D1526" s="12" t="n"/>
      <c r="E1526" s="12" t="n"/>
    </row>
    <row r="1527">
      <c r="D1527" s="12" t="n"/>
      <c r="E1527" s="12" t="n"/>
    </row>
    <row r="1528">
      <c r="D1528" s="12" t="n"/>
      <c r="E1528" s="12" t="n"/>
    </row>
    <row r="1529">
      <c r="D1529" s="12" t="n"/>
      <c r="E1529" s="12" t="n"/>
    </row>
    <row r="1530">
      <c r="D1530" s="12" t="n"/>
      <c r="E1530" s="12" t="n"/>
    </row>
    <row r="1531">
      <c r="D1531" s="12" t="n"/>
      <c r="E1531" s="12" t="n"/>
    </row>
    <row r="1532">
      <c r="D1532" s="12" t="n"/>
      <c r="E1532" s="12" t="n"/>
    </row>
    <row r="1533">
      <c r="D1533" s="12" t="n"/>
      <c r="E1533" s="12" t="n"/>
    </row>
    <row r="1534">
      <c r="D1534" s="12" t="n"/>
      <c r="E1534" s="12" t="n"/>
    </row>
    <row r="1535">
      <c r="D1535" s="12" t="n"/>
      <c r="E1535" s="12" t="n"/>
    </row>
    <row r="1536">
      <c r="D1536" s="12" t="n"/>
      <c r="E1536" s="12" t="n"/>
    </row>
    <row r="1537">
      <c r="D1537" s="12" t="n"/>
      <c r="E1537" s="12" t="n"/>
    </row>
    <row r="1538">
      <c r="D1538" s="12" t="n"/>
      <c r="E1538" s="12" t="n"/>
    </row>
    <row r="1539">
      <c r="D1539" s="12" t="n"/>
      <c r="E1539" s="12" t="n"/>
    </row>
    <row r="1540">
      <c r="D1540" s="12" t="n"/>
      <c r="E1540" s="12" t="n"/>
    </row>
    <row r="1541">
      <c r="D1541" s="12" t="n"/>
      <c r="E1541" s="12" t="n"/>
    </row>
    <row r="1542">
      <c r="D1542" s="12" t="n"/>
      <c r="E1542" s="12" t="n"/>
    </row>
    <row r="1543">
      <c r="D1543" s="12" t="n"/>
      <c r="E1543" s="12" t="n"/>
    </row>
    <row r="1544">
      <c r="D1544" s="12" t="n"/>
      <c r="E1544" s="12" t="n"/>
    </row>
    <row r="1545">
      <c r="D1545" s="12" t="n"/>
      <c r="E1545" s="12" t="n"/>
    </row>
    <row r="1546">
      <c r="D1546" s="12" t="n"/>
      <c r="E1546" s="12" t="n"/>
    </row>
    <row r="1547">
      <c r="D1547" s="12" t="n"/>
      <c r="E1547" s="12" t="n"/>
    </row>
    <row r="1548">
      <c r="D1548" s="12" t="n"/>
      <c r="E1548" s="12" t="n"/>
    </row>
    <row r="1549">
      <c r="D1549" s="12" t="n"/>
      <c r="E1549" s="12" t="n"/>
    </row>
    <row r="1550">
      <c r="D1550" s="12" t="n"/>
      <c r="E1550" s="12" t="n"/>
    </row>
    <row r="1551">
      <c r="D1551" s="12" t="n"/>
      <c r="E1551" s="12" t="n"/>
    </row>
    <row r="1552">
      <c r="D1552" s="12" t="n"/>
      <c r="E1552" s="12" t="n"/>
    </row>
    <row r="1553">
      <c r="D1553" s="12" t="n"/>
      <c r="E1553" s="12" t="n"/>
    </row>
    <row r="1554">
      <c r="D1554" s="12" t="n"/>
      <c r="E1554" s="12" t="n"/>
    </row>
    <row r="1555">
      <c r="D1555" s="12" t="n"/>
      <c r="E1555" s="12" t="n"/>
    </row>
    <row r="1556">
      <c r="D1556" s="12" t="n"/>
      <c r="E1556" s="12" t="n"/>
    </row>
    <row r="1557">
      <c r="D1557" s="12" t="n"/>
      <c r="E1557" s="12" t="n"/>
    </row>
    <row r="1558">
      <c r="D1558" s="12" t="n"/>
      <c r="E1558" s="12" t="n"/>
    </row>
    <row r="1559">
      <c r="D1559" s="12" t="n"/>
      <c r="E1559" s="12" t="n"/>
    </row>
    <row r="1560">
      <c r="D1560" s="12" t="n"/>
      <c r="E1560" s="12" t="n"/>
    </row>
    <row r="1561">
      <c r="D1561" s="12" t="n"/>
      <c r="E1561" s="12" t="n"/>
    </row>
    <row r="1562">
      <c r="D1562" s="12" t="n"/>
      <c r="E1562" s="12" t="n"/>
    </row>
    <row r="1563">
      <c r="D1563" s="12" t="n"/>
      <c r="E1563" s="12" t="n"/>
    </row>
    <row r="1564">
      <c r="D1564" s="12" t="n"/>
      <c r="E1564" s="12" t="n"/>
    </row>
    <row r="1565">
      <c r="D1565" s="12" t="n"/>
      <c r="E1565" s="12" t="n"/>
    </row>
    <row r="1566">
      <c r="D1566" s="12" t="n"/>
      <c r="E1566" s="12" t="n"/>
    </row>
    <row r="1567">
      <c r="D1567" s="12" t="n"/>
      <c r="E1567" s="12" t="n"/>
    </row>
    <row r="1568">
      <c r="D1568" s="12" t="n"/>
      <c r="E1568" s="12" t="n"/>
    </row>
    <row r="1569">
      <c r="D1569" s="12" t="n"/>
      <c r="E1569" s="12" t="n"/>
    </row>
    <row r="1570">
      <c r="D1570" s="12" t="n"/>
      <c r="E1570" s="12" t="n"/>
    </row>
    <row r="1571">
      <c r="D1571" s="12" t="n"/>
      <c r="E1571" s="12" t="n"/>
    </row>
    <row r="1572">
      <c r="D1572" s="12" t="n"/>
      <c r="E1572" s="12" t="n"/>
    </row>
    <row r="1573">
      <c r="D1573" s="12" t="n"/>
      <c r="E1573" s="12" t="n"/>
    </row>
    <row r="1574">
      <c r="D1574" s="12" t="n"/>
      <c r="E1574" s="12" t="n"/>
    </row>
    <row r="1575">
      <c r="D1575" s="12" t="n"/>
      <c r="E1575" s="12" t="n"/>
    </row>
    <row r="1576">
      <c r="D1576" s="12" t="n"/>
      <c r="E1576" s="12" t="n"/>
    </row>
    <row r="1577">
      <c r="D1577" s="12" t="n"/>
      <c r="E1577" s="12" t="n"/>
    </row>
    <row r="1578">
      <c r="D1578" s="12" t="n"/>
      <c r="E1578" s="12" t="n"/>
    </row>
    <row r="1579">
      <c r="D1579" s="12" t="n"/>
      <c r="E1579" s="12" t="n"/>
    </row>
    <row r="1580">
      <c r="D1580" s="12" t="n"/>
      <c r="E1580" s="12" t="n"/>
    </row>
    <row r="1581">
      <c r="D1581" s="12" t="n"/>
      <c r="E1581" s="12" t="n"/>
    </row>
    <row r="1582">
      <c r="D1582" s="12" t="n"/>
      <c r="E1582" s="12" t="n"/>
    </row>
    <row r="1583">
      <c r="D1583" s="12" t="n"/>
      <c r="E1583" s="12" t="n"/>
    </row>
    <row r="1584">
      <c r="D1584" s="12" t="n"/>
      <c r="E1584" s="12" t="n"/>
    </row>
    <row r="1585">
      <c r="D1585" s="12" t="n"/>
      <c r="E1585" s="12" t="n"/>
    </row>
    <row r="1586">
      <c r="D1586" s="12" t="n"/>
      <c r="E1586" s="12" t="n"/>
    </row>
    <row r="1587">
      <c r="D1587" s="12" t="n"/>
      <c r="E1587" s="12" t="n"/>
    </row>
    <row r="1588">
      <c r="D1588" s="12" t="n"/>
      <c r="E1588" s="12" t="n"/>
    </row>
    <row r="1589">
      <c r="D1589" s="12" t="n"/>
      <c r="E1589" s="12" t="n"/>
    </row>
    <row r="1590">
      <c r="D1590" s="12" t="n"/>
      <c r="E1590" s="12" t="n"/>
    </row>
    <row r="1591">
      <c r="D1591" s="12" t="n"/>
      <c r="E1591" s="12" t="n"/>
    </row>
    <row r="1592">
      <c r="D1592" s="12" t="n"/>
      <c r="E1592" s="12" t="n"/>
    </row>
    <row r="1593">
      <c r="D1593" s="12" t="n"/>
      <c r="E1593" s="12" t="n"/>
    </row>
    <row r="1594">
      <c r="D1594" s="12" t="n"/>
      <c r="E1594" s="12" t="n"/>
    </row>
    <row r="1595">
      <c r="D1595" s="12" t="n"/>
      <c r="E1595" s="12" t="n"/>
    </row>
    <row r="1596">
      <c r="D1596" s="12" t="n"/>
      <c r="E1596" s="12" t="n"/>
    </row>
    <row r="1597">
      <c r="D1597" s="12" t="n"/>
      <c r="E1597" s="12" t="n"/>
    </row>
    <row r="1598">
      <c r="D1598" s="12" t="n"/>
      <c r="E1598" s="12" t="n"/>
    </row>
    <row r="1599">
      <c r="D1599" s="12" t="n"/>
      <c r="E1599" s="12" t="n"/>
    </row>
    <row r="1600">
      <c r="D1600" s="12" t="n"/>
      <c r="E1600" s="12" t="n"/>
    </row>
    <row r="1601">
      <c r="D1601" s="12" t="n"/>
      <c r="E1601" s="12" t="n"/>
    </row>
    <row r="1602">
      <c r="D1602" s="12" t="n"/>
      <c r="E1602" s="12" t="n"/>
    </row>
    <row r="1603">
      <c r="D1603" s="12" t="n"/>
      <c r="E1603" s="12" t="n"/>
    </row>
    <row r="1604">
      <c r="D1604" s="12" t="n"/>
      <c r="E1604" s="12" t="n"/>
    </row>
    <row r="1605">
      <c r="D1605" s="12" t="n"/>
      <c r="E1605" s="12" t="n"/>
    </row>
    <row r="1606">
      <c r="D1606" s="12" t="n"/>
      <c r="E1606" s="12" t="n"/>
    </row>
    <row r="1607">
      <c r="D1607" s="12" t="n"/>
      <c r="E1607" s="12" t="n"/>
    </row>
    <row r="1608">
      <c r="D1608" s="12" t="n"/>
      <c r="E1608" s="12" t="n"/>
    </row>
    <row r="1609">
      <c r="D1609" s="12" t="n"/>
      <c r="E1609" s="12" t="n"/>
    </row>
    <row r="1610">
      <c r="D1610" s="12" t="n"/>
      <c r="E1610" s="12" t="n"/>
    </row>
    <row r="1611">
      <c r="D1611" s="12" t="n"/>
      <c r="E1611" s="12" t="n"/>
    </row>
    <row r="1612">
      <c r="D1612" s="12" t="n"/>
      <c r="E1612" s="12" t="n"/>
    </row>
    <row r="1613">
      <c r="D1613" s="12" t="n"/>
      <c r="E1613" s="12" t="n"/>
    </row>
    <row r="1614">
      <c r="D1614" s="12" t="n"/>
      <c r="E1614" s="12" t="n"/>
    </row>
    <row r="1615">
      <c r="D1615" s="12" t="n"/>
      <c r="E1615" s="12" t="n"/>
    </row>
    <row r="1616">
      <c r="D1616" s="12" t="n"/>
      <c r="E1616" s="12" t="n"/>
    </row>
    <row r="1617">
      <c r="D1617" s="12" t="n"/>
      <c r="E1617" s="12" t="n"/>
    </row>
    <row r="1618">
      <c r="D1618" s="12" t="n"/>
      <c r="E1618" s="12" t="n"/>
    </row>
    <row r="1619">
      <c r="D1619" s="12" t="n"/>
      <c r="E1619" s="12" t="n"/>
    </row>
    <row r="1620">
      <c r="D1620" s="12" t="n"/>
      <c r="E1620" s="12" t="n"/>
    </row>
    <row r="1621">
      <c r="D1621" s="12" t="n"/>
      <c r="E1621" s="12" t="n"/>
    </row>
    <row r="1622">
      <c r="D1622" s="12" t="n"/>
      <c r="E1622" s="12" t="n"/>
    </row>
    <row r="1623">
      <c r="D1623" s="12" t="n"/>
      <c r="E1623" s="12" t="n"/>
    </row>
    <row r="1624">
      <c r="D1624" s="12" t="n"/>
      <c r="E1624" s="12" t="n"/>
    </row>
    <row r="1625">
      <c r="D1625" s="12" t="n"/>
      <c r="E1625" s="12" t="n"/>
    </row>
    <row r="1626">
      <c r="D1626" s="12" t="n"/>
      <c r="E1626" s="12" t="n"/>
    </row>
    <row r="1627">
      <c r="D1627" s="12" t="n"/>
      <c r="E1627" s="12" t="n"/>
    </row>
    <row r="1628">
      <c r="D1628" s="12" t="n"/>
      <c r="E1628" s="12" t="n"/>
    </row>
    <row r="1629">
      <c r="D1629" s="12" t="n"/>
      <c r="E1629" s="12" t="n"/>
    </row>
    <row r="1630">
      <c r="D1630" s="12" t="n"/>
      <c r="E1630" s="12" t="n"/>
    </row>
    <row r="1631">
      <c r="D1631" s="12" t="n"/>
      <c r="E1631" s="12" t="n"/>
    </row>
    <row r="1632">
      <c r="D1632" s="12" t="n"/>
      <c r="E1632" s="12" t="n"/>
    </row>
    <row r="1633">
      <c r="D1633" s="12" t="n"/>
      <c r="E1633" s="12" t="n"/>
    </row>
    <row r="1634">
      <c r="D1634" s="12" t="n"/>
      <c r="E1634" s="12" t="n"/>
    </row>
    <row r="1635">
      <c r="D1635" s="12" t="n"/>
      <c r="E1635" s="12" t="n"/>
    </row>
    <row r="1636">
      <c r="D1636" s="12" t="n"/>
      <c r="E1636" s="12" t="n"/>
    </row>
    <row r="1637">
      <c r="D1637" s="12" t="n"/>
      <c r="E1637" s="12" t="n"/>
    </row>
    <row r="1638">
      <c r="D1638" s="12" t="n"/>
      <c r="E1638" s="12" t="n"/>
    </row>
    <row r="1639">
      <c r="D1639" s="12" t="n"/>
      <c r="E1639" s="12" t="n"/>
    </row>
    <row r="1640">
      <c r="D1640" s="12" t="n"/>
      <c r="E1640" s="12" t="n"/>
    </row>
    <row r="1641">
      <c r="D1641" s="12" t="n"/>
      <c r="E1641" s="12" t="n"/>
    </row>
    <row r="1642">
      <c r="D1642" s="12" t="n"/>
      <c r="E1642" s="12" t="n"/>
    </row>
    <row r="1643">
      <c r="D1643" s="12" t="n"/>
      <c r="E1643" s="12" t="n"/>
    </row>
    <row r="1644">
      <c r="D1644" s="12" t="n"/>
      <c r="E1644" s="12" t="n"/>
    </row>
    <row r="1645">
      <c r="D1645" s="12" t="n"/>
      <c r="E1645" s="12" t="n"/>
    </row>
    <row r="1646">
      <c r="D1646" s="12" t="n"/>
      <c r="E1646" s="12" t="n"/>
    </row>
    <row r="1647">
      <c r="D1647" s="12" t="n"/>
      <c r="E1647" s="12" t="n"/>
    </row>
    <row r="1648">
      <c r="D1648" s="12" t="n"/>
      <c r="E1648" s="12" t="n"/>
    </row>
    <row r="1649">
      <c r="D1649" s="12" t="n"/>
      <c r="E1649" s="12" t="n"/>
    </row>
    <row r="1650">
      <c r="D1650" s="12" t="n"/>
      <c r="E1650" s="12" t="n"/>
    </row>
    <row r="1651">
      <c r="D1651" s="12" t="n"/>
      <c r="E1651" s="12" t="n"/>
    </row>
    <row r="1652">
      <c r="D1652" s="12" t="n"/>
      <c r="E1652" s="12" t="n"/>
    </row>
    <row r="1653">
      <c r="D1653" s="12" t="n"/>
      <c r="E1653" s="12" t="n"/>
    </row>
    <row r="1654">
      <c r="D1654" s="12" t="n"/>
      <c r="E1654" s="12" t="n"/>
    </row>
    <row r="1655">
      <c r="D1655" s="12" t="n"/>
      <c r="E1655" s="12" t="n"/>
    </row>
    <row r="1656">
      <c r="D1656" s="12" t="n"/>
      <c r="E1656" s="12" t="n"/>
    </row>
    <row r="1657">
      <c r="D1657" s="12" t="n"/>
      <c r="E1657" s="12" t="n"/>
    </row>
    <row r="1658">
      <c r="D1658" s="12" t="n"/>
      <c r="E1658" s="12" t="n"/>
    </row>
    <row r="1659">
      <c r="D1659" s="12" t="n"/>
      <c r="E1659" s="12" t="n"/>
    </row>
    <row r="1660">
      <c r="D1660" s="12" t="n"/>
      <c r="E1660" s="12" t="n"/>
    </row>
    <row r="1661">
      <c r="D1661" s="12" t="n"/>
      <c r="E1661" s="12" t="n"/>
    </row>
    <row r="1662">
      <c r="D1662" s="12" t="n"/>
      <c r="E1662" s="12" t="n"/>
    </row>
    <row r="1663">
      <c r="D1663" s="12" t="n"/>
      <c r="E1663" s="12" t="n"/>
    </row>
    <row r="1664">
      <c r="D1664" s="12" t="n"/>
      <c r="E1664" s="12" t="n"/>
    </row>
    <row r="1665">
      <c r="D1665" s="12" t="n"/>
      <c r="E1665" s="12" t="n"/>
    </row>
    <row r="1666">
      <c r="D1666" s="12" t="n"/>
      <c r="E1666" s="12" t="n"/>
    </row>
    <row r="1667">
      <c r="D1667" s="12" t="n"/>
      <c r="E1667" s="12" t="n"/>
    </row>
    <row r="1668">
      <c r="D1668" s="12" t="n"/>
      <c r="E1668" s="12" t="n"/>
    </row>
    <row r="1669">
      <c r="D1669" s="12" t="n"/>
      <c r="E1669" s="12" t="n"/>
    </row>
    <row r="1670">
      <c r="D1670" s="12" t="n"/>
      <c r="E1670" s="12" t="n"/>
    </row>
    <row r="1671">
      <c r="D1671" s="12" t="n"/>
      <c r="E1671" s="12" t="n"/>
    </row>
    <row r="1672">
      <c r="D1672" s="12" t="n"/>
      <c r="E1672" s="12" t="n"/>
    </row>
    <row r="1673">
      <c r="D1673" s="12" t="n"/>
      <c r="E1673" s="12" t="n"/>
    </row>
    <row r="1674">
      <c r="D1674" s="12" t="n"/>
      <c r="E1674" s="12" t="n"/>
    </row>
    <row r="1675">
      <c r="D1675" s="12" t="n"/>
      <c r="E1675" s="12" t="n"/>
    </row>
    <row r="1676">
      <c r="D1676" s="12" t="n"/>
      <c r="E1676" s="12" t="n"/>
    </row>
    <row r="1677">
      <c r="D1677" s="12" t="n"/>
      <c r="E1677" s="12" t="n"/>
    </row>
    <row r="1678">
      <c r="D1678" s="12" t="n"/>
      <c r="E1678" s="12" t="n"/>
    </row>
    <row r="1679">
      <c r="D1679" s="12" t="n"/>
      <c r="E1679" s="12" t="n"/>
    </row>
    <row r="1680">
      <c r="D1680" s="12" t="n"/>
      <c r="E1680" s="12" t="n"/>
    </row>
    <row r="1681">
      <c r="D1681" s="12" t="n"/>
      <c r="E1681" s="12" t="n"/>
    </row>
    <row r="1682">
      <c r="D1682" s="12" t="n"/>
      <c r="E1682" s="12" t="n"/>
    </row>
    <row r="1683">
      <c r="D1683" s="12" t="n"/>
      <c r="E1683" s="12" t="n"/>
    </row>
    <row r="1684">
      <c r="D1684" s="12" t="n"/>
      <c r="E1684" s="12" t="n"/>
    </row>
    <row r="1685">
      <c r="D1685" s="12" t="n"/>
      <c r="E1685" s="12" t="n"/>
    </row>
    <row r="1686">
      <c r="D1686" s="12" t="n"/>
      <c r="E1686" s="12" t="n"/>
    </row>
    <row r="1687">
      <c r="D1687" s="12" t="n"/>
      <c r="E1687" s="12" t="n"/>
    </row>
    <row r="1688">
      <c r="D1688" s="12" t="n"/>
      <c r="E1688" s="12" t="n"/>
    </row>
    <row r="1689">
      <c r="D1689" s="12" t="n"/>
      <c r="E1689" s="12" t="n"/>
    </row>
    <row r="1690">
      <c r="D1690" s="12" t="n"/>
      <c r="E1690" s="12" t="n"/>
    </row>
    <row r="1691">
      <c r="D1691" s="12" t="n"/>
      <c r="E1691" s="12" t="n"/>
    </row>
    <row r="1692">
      <c r="D1692" s="12" t="n"/>
      <c r="E1692" s="12" t="n"/>
    </row>
    <row r="1693">
      <c r="D1693" s="12" t="n"/>
      <c r="E1693" s="12" t="n"/>
    </row>
    <row r="1694">
      <c r="D1694" s="12" t="n"/>
      <c r="E1694" s="12" t="n"/>
    </row>
    <row r="1695">
      <c r="D1695" s="12" t="n"/>
      <c r="E1695" s="12" t="n"/>
    </row>
    <row r="1696">
      <c r="D1696" s="12" t="n"/>
      <c r="E1696" s="12" t="n"/>
    </row>
    <row r="1697">
      <c r="D1697" s="12" t="n"/>
      <c r="E1697" s="12" t="n"/>
    </row>
    <row r="1698">
      <c r="D1698" s="12" t="n"/>
      <c r="E1698" s="12" t="n"/>
    </row>
    <row r="1699">
      <c r="D1699" s="12" t="n"/>
      <c r="E1699" s="12" t="n"/>
    </row>
    <row r="1700">
      <c r="D1700" s="12" t="n"/>
      <c r="E1700" s="12" t="n"/>
    </row>
    <row r="1701">
      <c r="D1701" s="12" t="n"/>
      <c r="E1701" s="12" t="n"/>
    </row>
    <row r="1702">
      <c r="D1702" s="12" t="n"/>
      <c r="E1702" s="12" t="n"/>
    </row>
    <row r="1703">
      <c r="D1703" s="12" t="n"/>
      <c r="E1703" s="12" t="n"/>
    </row>
    <row r="1704">
      <c r="D1704" s="12" t="n"/>
      <c r="E1704" s="12" t="n"/>
    </row>
    <row r="1705">
      <c r="D1705" s="12" t="n"/>
      <c r="E1705" s="12" t="n"/>
    </row>
    <row r="1706">
      <c r="D1706" s="12" t="n"/>
      <c r="E1706" s="12" t="n"/>
    </row>
    <row r="1707">
      <c r="D1707" s="12" t="n"/>
      <c r="E1707" s="12" t="n"/>
    </row>
    <row r="1708">
      <c r="D1708" s="12" t="n"/>
      <c r="E1708" s="12" t="n"/>
    </row>
    <row r="1709">
      <c r="D1709" s="12" t="n"/>
      <c r="E1709" s="12" t="n"/>
    </row>
    <row r="1710">
      <c r="D1710" s="12" t="n"/>
      <c r="E1710" s="12" t="n"/>
    </row>
    <row r="1711">
      <c r="D1711" s="12" t="n"/>
      <c r="E1711" s="12" t="n"/>
    </row>
    <row r="1712">
      <c r="D1712" s="12" t="n"/>
      <c r="E1712" s="12" t="n"/>
    </row>
    <row r="1713">
      <c r="D1713" s="12" t="n"/>
      <c r="E1713" s="12" t="n"/>
    </row>
    <row r="1714">
      <c r="D1714" s="12" t="n"/>
      <c r="E1714" s="12" t="n"/>
    </row>
    <row r="1715">
      <c r="D1715" s="12" t="n"/>
      <c r="E1715" s="12" t="n"/>
    </row>
    <row r="1716">
      <c r="D1716" s="12" t="n"/>
      <c r="E1716" s="12" t="n"/>
    </row>
    <row r="1717">
      <c r="D1717" s="12" t="n"/>
      <c r="E1717" s="12" t="n"/>
    </row>
    <row r="1718">
      <c r="D1718" s="12" t="n"/>
      <c r="E1718" s="12" t="n"/>
    </row>
    <row r="1719">
      <c r="D1719" s="12" t="n"/>
      <c r="E1719" s="12" t="n"/>
    </row>
    <row r="1720">
      <c r="D1720" s="12" t="n"/>
      <c r="E1720" s="12" t="n"/>
    </row>
    <row r="1721">
      <c r="D1721" s="12" t="n"/>
      <c r="E1721" s="12" t="n"/>
    </row>
    <row r="1722">
      <c r="D1722" s="12" t="n"/>
      <c r="E1722" s="12" t="n"/>
    </row>
    <row r="1723">
      <c r="D1723" s="12" t="n"/>
      <c r="E1723" s="12" t="n"/>
    </row>
    <row r="1724">
      <c r="D1724" s="12" t="n"/>
      <c r="E1724" s="12" t="n"/>
    </row>
    <row r="1725">
      <c r="D1725" s="12" t="n"/>
      <c r="E1725" s="12" t="n"/>
    </row>
    <row r="1726">
      <c r="D1726" s="12" t="n"/>
      <c r="E1726" s="12" t="n"/>
    </row>
    <row r="1727">
      <c r="D1727" s="12" t="n"/>
      <c r="E1727" s="12" t="n"/>
    </row>
    <row r="1728">
      <c r="D1728" s="12" t="n"/>
      <c r="E1728" s="12" t="n"/>
    </row>
    <row r="1729">
      <c r="D1729" s="12" t="n"/>
      <c r="E1729" s="12" t="n"/>
    </row>
    <row r="1730">
      <c r="D1730" s="12" t="n"/>
      <c r="E1730" s="12" t="n"/>
    </row>
    <row r="1731">
      <c r="D1731" s="12" t="n"/>
      <c r="E1731" s="12" t="n"/>
    </row>
    <row r="1732">
      <c r="D1732" s="12" t="n"/>
      <c r="E1732" s="12" t="n"/>
    </row>
    <row r="1733">
      <c r="D1733" s="12" t="n"/>
      <c r="E1733" s="12" t="n"/>
    </row>
    <row r="1734">
      <c r="D1734" s="12" t="n"/>
      <c r="E1734" s="12" t="n"/>
    </row>
    <row r="1735">
      <c r="D1735" s="12" t="n"/>
      <c r="E1735" s="12" t="n"/>
    </row>
    <row r="1736">
      <c r="D1736" s="12" t="n"/>
      <c r="E1736" s="12" t="n"/>
    </row>
    <row r="1737">
      <c r="D1737" s="12" t="n"/>
      <c r="E1737" s="12" t="n"/>
    </row>
    <row r="1738">
      <c r="D1738" s="12" t="n"/>
      <c r="E1738" s="12" t="n"/>
    </row>
    <row r="1739">
      <c r="D1739" s="12" t="n"/>
      <c r="E1739" s="12" t="n"/>
    </row>
    <row r="1740">
      <c r="D1740" s="12" t="n"/>
      <c r="E1740" s="12" t="n"/>
    </row>
    <row r="1741">
      <c r="D1741" s="12" t="n"/>
      <c r="E1741" s="12" t="n"/>
    </row>
    <row r="1742">
      <c r="D1742" s="12" t="n"/>
      <c r="E1742" s="12" t="n"/>
    </row>
    <row r="1743">
      <c r="D1743" s="12" t="n"/>
      <c r="E1743" s="12" t="n"/>
    </row>
    <row r="1744">
      <c r="D1744" s="12" t="n"/>
      <c r="E1744" s="12" t="n"/>
    </row>
    <row r="1745">
      <c r="D1745" s="12" t="n"/>
      <c r="E1745" s="12" t="n"/>
    </row>
    <row r="1746">
      <c r="D1746" s="12" t="n"/>
      <c r="E1746" s="12" t="n"/>
    </row>
    <row r="1747">
      <c r="D1747" s="12" t="n"/>
      <c r="E1747" s="12" t="n"/>
    </row>
    <row r="1748">
      <c r="D1748" s="12" t="n"/>
      <c r="E1748" s="12" t="n"/>
    </row>
    <row r="1749">
      <c r="D1749" s="12" t="n"/>
      <c r="E1749" s="12" t="n"/>
    </row>
    <row r="1750">
      <c r="D1750" s="12" t="n"/>
      <c r="E1750" s="12" t="n"/>
    </row>
    <row r="1751">
      <c r="D1751" s="12" t="n"/>
      <c r="E1751" s="12" t="n"/>
    </row>
    <row r="1752">
      <c r="D1752" s="12" t="n"/>
      <c r="E1752" s="12" t="n"/>
    </row>
    <row r="1753">
      <c r="D1753" s="12" t="n"/>
      <c r="E1753" s="12" t="n"/>
    </row>
    <row r="1754">
      <c r="D1754" s="12" t="n"/>
      <c r="E1754" s="12" t="n"/>
    </row>
    <row r="1755">
      <c r="D1755" s="12" t="n"/>
      <c r="E1755" s="12" t="n"/>
    </row>
    <row r="1756">
      <c r="D1756" s="12" t="n"/>
      <c r="E1756" s="12" t="n"/>
    </row>
    <row r="1757">
      <c r="D1757" s="12" t="n"/>
      <c r="E1757" s="12" t="n"/>
    </row>
    <row r="1758">
      <c r="D1758" s="12" t="n"/>
      <c r="E1758" s="12" t="n"/>
    </row>
    <row r="1759">
      <c r="D1759" s="12" t="n"/>
      <c r="E1759" s="12" t="n"/>
    </row>
    <row r="1760">
      <c r="D1760" s="12" t="n"/>
      <c r="E1760" s="12" t="n"/>
    </row>
    <row r="1761">
      <c r="D1761" s="12" t="n"/>
      <c r="E1761" s="12" t="n"/>
    </row>
    <row r="1762">
      <c r="D1762" s="12" t="n"/>
      <c r="E1762" s="12" t="n"/>
    </row>
    <row r="1763">
      <c r="D1763" s="12" t="n"/>
      <c r="E1763" s="12" t="n"/>
    </row>
    <row r="1764">
      <c r="D1764" s="12" t="n"/>
      <c r="E1764" s="12" t="n"/>
    </row>
    <row r="1765">
      <c r="D1765" s="12" t="n"/>
      <c r="E1765" s="12" t="n"/>
    </row>
    <row r="1766">
      <c r="D1766" s="12" t="n"/>
      <c r="E1766" s="12" t="n"/>
    </row>
    <row r="1767">
      <c r="D1767" s="12" t="n"/>
      <c r="E1767" s="12" t="n"/>
    </row>
    <row r="1768">
      <c r="D1768" s="12" t="n"/>
      <c r="E1768" s="12" t="n"/>
    </row>
    <row r="1769">
      <c r="D1769" s="12" t="n"/>
      <c r="E1769" s="12" t="n"/>
    </row>
    <row r="1770">
      <c r="D1770" s="12" t="n"/>
      <c r="E1770" s="12" t="n"/>
    </row>
    <row r="1771">
      <c r="D1771" s="12" t="n"/>
      <c r="E1771" s="12" t="n"/>
    </row>
    <row r="1772">
      <c r="D1772" s="12" t="n"/>
      <c r="E1772" s="12" t="n"/>
    </row>
    <row r="1773">
      <c r="D1773" s="12" t="n"/>
      <c r="E1773" s="12" t="n"/>
    </row>
    <row r="1774">
      <c r="D1774" s="12" t="n"/>
      <c r="E1774" s="12" t="n"/>
    </row>
    <row r="1775">
      <c r="D1775" s="12" t="n"/>
      <c r="E1775" s="12" t="n"/>
    </row>
    <row r="1776">
      <c r="D1776" s="12" t="n"/>
      <c r="E1776" s="12" t="n"/>
    </row>
    <row r="1777">
      <c r="D1777" s="12" t="n"/>
      <c r="E1777" s="12" t="n"/>
    </row>
    <row r="1778">
      <c r="D1778" s="12" t="n"/>
      <c r="E1778" s="12" t="n"/>
    </row>
    <row r="1779">
      <c r="D1779" s="12" t="n"/>
      <c r="E1779" s="12" t="n"/>
    </row>
    <row r="1780">
      <c r="D1780" s="12" t="n"/>
      <c r="E1780" s="12" t="n"/>
    </row>
    <row r="1781">
      <c r="D1781" s="12" t="n"/>
      <c r="E1781" s="12" t="n"/>
    </row>
    <row r="1782">
      <c r="D1782" s="12" t="n"/>
      <c r="E1782" s="12" t="n"/>
    </row>
    <row r="1783">
      <c r="D1783" s="12" t="n"/>
      <c r="E1783" s="12" t="n"/>
    </row>
    <row r="1784">
      <c r="D1784" s="12" t="n"/>
      <c r="E1784" s="12" t="n"/>
    </row>
    <row r="1785">
      <c r="D1785" s="12" t="n"/>
      <c r="E1785" s="12" t="n"/>
    </row>
    <row r="1786">
      <c r="D1786" s="12" t="n"/>
      <c r="E1786" s="12" t="n"/>
    </row>
    <row r="1787">
      <c r="D1787" s="12" t="n"/>
      <c r="E1787" s="12" t="n"/>
    </row>
    <row r="1788">
      <c r="D1788" s="12" t="n"/>
      <c r="E1788" s="12" t="n"/>
    </row>
    <row r="1789">
      <c r="D1789" s="12" t="n"/>
      <c r="E1789" s="12" t="n"/>
    </row>
    <row r="1790">
      <c r="D1790" s="12" t="n"/>
      <c r="E1790" s="12" t="n"/>
    </row>
    <row r="1791">
      <c r="D1791" s="12" t="n"/>
      <c r="E1791" s="12" t="n"/>
    </row>
    <row r="1792">
      <c r="D1792" s="12" t="n"/>
      <c r="E1792" s="12" t="n"/>
    </row>
    <row r="1793">
      <c r="D1793" s="12" t="n"/>
      <c r="E1793" s="12" t="n"/>
    </row>
    <row r="1794">
      <c r="D1794" s="12" t="n"/>
      <c r="E1794" s="12" t="n"/>
    </row>
    <row r="1795">
      <c r="D1795" s="12" t="n"/>
      <c r="E1795" s="12" t="n"/>
    </row>
    <row r="1796">
      <c r="D1796" s="12" t="n"/>
      <c r="E1796" s="12" t="n"/>
    </row>
    <row r="1797">
      <c r="D1797" s="12" t="n"/>
      <c r="E1797" s="12" t="n"/>
    </row>
    <row r="1798">
      <c r="D1798" s="12" t="n"/>
      <c r="E1798" s="12" t="n"/>
    </row>
    <row r="1799">
      <c r="D1799" s="12" t="n"/>
      <c r="E1799" s="12" t="n"/>
    </row>
    <row r="1800">
      <c r="D1800" s="12" t="n"/>
      <c r="E1800" s="12" t="n"/>
    </row>
    <row r="1801">
      <c r="D1801" s="12" t="n"/>
      <c r="E1801" s="12" t="n"/>
    </row>
    <row r="1802">
      <c r="D1802" s="12" t="n"/>
      <c r="E1802" s="12" t="n"/>
    </row>
    <row r="1803">
      <c r="D1803" s="12" t="n"/>
      <c r="E1803" s="12" t="n"/>
    </row>
    <row r="1804">
      <c r="D1804" s="12" t="n"/>
      <c r="E1804" s="12" t="n"/>
    </row>
    <row r="1805">
      <c r="D1805" s="12" t="n"/>
      <c r="E1805" s="12" t="n"/>
    </row>
    <row r="1806">
      <c r="D1806" s="12" t="n"/>
      <c r="E1806" s="12" t="n"/>
    </row>
    <row r="1807">
      <c r="D1807" s="12" t="n"/>
      <c r="E1807" s="12" t="n"/>
    </row>
    <row r="1808">
      <c r="D1808" s="12" t="n"/>
      <c r="E1808" s="12" t="n"/>
    </row>
    <row r="1809">
      <c r="D1809" s="12" t="n"/>
      <c r="E1809" s="12" t="n"/>
    </row>
    <row r="1810">
      <c r="D1810" s="12" t="n"/>
      <c r="E1810" s="12" t="n"/>
    </row>
    <row r="1811">
      <c r="D1811" s="12" t="n"/>
      <c r="E1811" s="12" t="n"/>
    </row>
    <row r="1812">
      <c r="D1812" s="12" t="n"/>
      <c r="E1812" s="12" t="n"/>
    </row>
    <row r="1813">
      <c r="D1813" s="12" t="n"/>
      <c r="E1813" s="12" t="n"/>
    </row>
    <row r="1814">
      <c r="D1814" s="12" t="n"/>
      <c r="E1814" s="12" t="n"/>
    </row>
    <row r="1815">
      <c r="D1815" s="12" t="n"/>
      <c r="E1815" s="12" t="n"/>
    </row>
    <row r="1816">
      <c r="D1816" s="12" t="n"/>
      <c r="E1816" s="12" t="n"/>
    </row>
    <row r="1817">
      <c r="D1817" s="12" t="n"/>
      <c r="E1817" s="12" t="n"/>
    </row>
    <row r="1818">
      <c r="D1818" s="12" t="n"/>
      <c r="E1818" s="12" t="n"/>
    </row>
    <row r="1819">
      <c r="D1819" s="12" t="n"/>
      <c r="E1819" s="12" t="n"/>
    </row>
    <row r="1820">
      <c r="D1820" s="12" t="n"/>
      <c r="E1820" s="12" t="n"/>
    </row>
    <row r="1821">
      <c r="D1821" s="12" t="n"/>
      <c r="E1821" s="12" t="n"/>
    </row>
    <row r="1822">
      <c r="D1822" s="12" t="n"/>
      <c r="E1822" s="12" t="n"/>
    </row>
    <row r="1823">
      <c r="D1823" s="12" t="n"/>
      <c r="E1823" s="12" t="n"/>
    </row>
    <row r="1824">
      <c r="D1824" s="12" t="n"/>
      <c r="E1824" s="12" t="n"/>
    </row>
    <row r="1825">
      <c r="D1825" s="12" t="n"/>
      <c r="E1825" s="12" t="n"/>
    </row>
    <row r="1826">
      <c r="D1826" s="12" t="n"/>
      <c r="E1826" s="12" t="n"/>
    </row>
    <row r="1827">
      <c r="D1827" s="12" t="n"/>
      <c r="E1827" s="12" t="n"/>
    </row>
    <row r="1828">
      <c r="D1828" s="12" t="n"/>
      <c r="E1828" s="12" t="n"/>
    </row>
    <row r="1829">
      <c r="D1829" s="12" t="n"/>
      <c r="E1829" s="12" t="n"/>
    </row>
    <row r="1830">
      <c r="D1830" s="12" t="n"/>
      <c r="E1830" s="12" t="n"/>
    </row>
    <row r="1831">
      <c r="D1831" s="12" t="n"/>
      <c r="E1831" s="12" t="n"/>
    </row>
    <row r="1832">
      <c r="D1832" s="12" t="n"/>
      <c r="E1832" s="12" t="n"/>
    </row>
    <row r="1833">
      <c r="D1833" s="12" t="n"/>
      <c r="E1833" s="12" t="n"/>
    </row>
    <row r="1834">
      <c r="D1834" s="12" t="n"/>
      <c r="E1834" s="12" t="n"/>
    </row>
    <row r="1835">
      <c r="D1835" s="12" t="n"/>
      <c r="E1835" s="12" t="n"/>
    </row>
    <row r="1836">
      <c r="D1836" s="12" t="n"/>
      <c r="E1836" s="12" t="n"/>
    </row>
    <row r="1837">
      <c r="D1837" s="12" t="n"/>
      <c r="E1837" s="12" t="n"/>
    </row>
    <row r="1838">
      <c r="D1838" s="12" t="n"/>
      <c r="E1838" s="12" t="n"/>
    </row>
    <row r="1839">
      <c r="D1839" s="12" t="n"/>
      <c r="E1839" s="12" t="n"/>
    </row>
    <row r="1840">
      <c r="D1840" s="12" t="n"/>
      <c r="E1840" s="12" t="n"/>
    </row>
    <row r="1841">
      <c r="D1841" s="12" t="n"/>
      <c r="E1841" s="12" t="n"/>
    </row>
    <row r="1842">
      <c r="D1842" s="12" t="n"/>
      <c r="E1842" s="12" t="n"/>
    </row>
    <row r="1843">
      <c r="D1843" s="12" t="n"/>
      <c r="E1843" s="12" t="n"/>
    </row>
    <row r="1844">
      <c r="D1844" s="12" t="n"/>
      <c r="E1844" s="12" t="n"/>
    </row>
    <row r="1845">
      <c r="D1845" s="12" t="n"/>
      <c r="E1845" s="12" t="n"/>
    </row>
    <row r="1846">
      <c r="D1846" s="12" t="n"/>
      <c r="E1846" s="12" t="n"/>
    </row>
    <row r="1847">
      <c r="D1847" s="12" t="n"/>
      <c r="E1847" s="12" t="n"/>
    </row>
    <row r="1848">
      <c r="D1848" s="12" t="n"/>
      <c r="E1848" s="12" t="n"/>
    </row>
    <row r="1849">
      <c r="D1849" s="12" t="n"/>
      <c r="E1849" s="12" t="n"/>
    </row>
    <row r="1850">
      <c r="D1850" s="12" t="n"/>
      <c r="E1850" s="12" t="n"/>
    </row>
    <row r="1851">
      <c r="D1851" s="12" t="n"/>
      <c r="E1851" s="12" t="n"/>
    </row>
    <row r="1852">
      <c r="D1852" s="12" t="n"/>
      <c r="E1852" s="12" t="n"/>
    </row>
    <row r="1853">
      <c r="D1853" s="12" t="n"/>
      <c r="E1853" s="12" t="n"/>
    </row>
    <row r="1854">
      <c r="D1854" s="12" t="n"/>
      <c r="E1854" s="12" t="n"/>
    </row>
    <row r="1855">
      <c r="D1855" s="12" t="n"/>
      <c r="E1855" s="12" t="n"/>
    </row>
    <row r="1856">
      <c r="D1856" s="12" t="n"/>
      <c r="E1856" s="12" t="n"/>
    </row>
    <row r="1857">
      <c r="D1857" s="12" t="n"/>
      <c r="E1857" s="12" t="n"/>
    </row>
    <row r="1858">
      <c r="D1858" s="12" t="n"/>
      <c r="E1858" s="12" t="n"/>
    </row>
    <row r="1859">
      <c r="D1859" s="12" t="n"/>
      <c r="E1859" s="12" t="n"/>
    </row>
    <row r="1860">
      <c r="D1860" s="12" t="n"/>
      <c r="E1860" s="12" t="n"/>
    </row>
    <row r="1861">
      <c r="D1861" s="12" t="n"/>
      <c r="E1861" s="12" t="n"/>
    </row>
    <row r="1862">
      <c r="D1862" s="12" t="n"/>
      <c r="E1862" s="12" t="n"/>
    </row>
    <row r="1863">
      <c r="D1863" s="12" t="n"/>
      <c r="E1863" s="12" t="n"/>
    </row>
    <row r="1864">
      <c r="D1864" s="12" t="n"/>
      <c r="E1864" s="12" t="n"/>
    </row>
    <row r="1865">
      <c r="D1865" s="12" t="n"/>
      <c r="E1865" s="12" t="n"/>
    </row>
    <row r="1866">
      <c r="D1866" s="12" t="n"/>
      <c r="E1866" s="12" t="n"/>
    </row>
    <row r="1867">
      <c r="D1867" s="12" t="n"/>
      <c r="E1867" s="12" t="n"/>
    </row>
    <row r="1868">
      <c r="D1868" s="12" t="n"/>
      <c r="E1868" s="12" t="n"/>
    </row>
    <row r="1869">
      <c r="D1869" s="12" t="n"/>
      <c r="E1869" s="12" t="n"/>
    </row>
    <row r="1870">
      <c r="D1870" s="12" t="n"/>
      <c r="E1870" s="12" t="n"/>
    </row>
    <row r="1871">
      <c r="D1871" s="12" t="n"/>
      <c r="E1871" s="12" t="n"/>
    </row>
    <row r="1872">
      <c r="D1872" s="12" t="n"/>
      <c r="E1872" s="12" t="n"/>
    </row>
    <row r="1873">
      <c r="D1873" s="12" t="n"/>
      <c r="E1873" s="12" t="n"/>
    </row>
    <row r="1874">
      <c r="D1874" s="12" t="n"/>
      <c r="E1874" s="12" t="n"/>
    </row>
    <row r="1875">
      <c r="D1875" s="12" t="n"/>
      <c r="E1875" s="12" t="n"/>
    </row>
    <row r="1876">
      <c r="D1876" s="12" t="n"/>
      <c r="E1876" s="12" t="n"/>
    </row>
    <row r="1877">
      <c r="D1877" s="12" t="n"/>
      <c r="E1877" s="12" t="n"/>
    </row>
    <row r="1878">
      <c r="D1878" s="12" t="n"/>
      <c r="E1878" s="12" t="n"/>
    </row>
    <row r="1879">
      <c r="D1879" s="12" t="n"/>
      <c r="E1879" s="12" t="n"/>
    </row>
    <row r="1880">
      <c r="D1880" s="12" t="n"/>
      <c r="E1880" s="12" t="n"/>
    </row>
    <row r="1881">
      <c r="D1881" s="12" t="n"/>
      <c r="E1881" s="12" t="n"/>
    </row>
    <row r="1882">
      <c r="D1882" s="12" t="n"/>
      <c r="E1882" s="12" t="n"/>
    </row>
    <row r="1883">
      <c r="D1883" s="12" t="n"/>
      <c r="E1883" s="12" t="n"/>
    </row>
    <row r="1884">
      <c r="D1884" s="12" t="n"/>
      <c r="E1884" s="12" t="n"/>
    </row>
    <row r="1885">
      <c r="D1885" s="12" t="n"/>
      <c r="E1885" s="12" t="n"/>
    </row>
    <row r="1886">
      <c r="D1886" s="12" t="n"/>
      <c r="E1886" s="12" t="n"/>
    </row>
    <row r="1887">
      <c r="D1887" s="12" t="n"/>
      <c r="E1887" s="12" t="n"/>
    </row>
    <row r="1888">
      <c r="D1888" s="12" t="n"/>
      <c r="E1888" s="12" t="n"/>
    </row>
    <row r="1889">
      <c r="D1889" s="12" t="n"/>
      <c r="E1889" s="12" t="n"/>
    </row>
    <row r="1890">
      <c r="D1890" s="12" t="n"/>
      <c r="E1890" s="12" t="n"/>
    </row>
    <row r="1891">
      <c r="D1891" s="12" t="n"/>
      <c r="E1891" s="12" t="n"/>
    </row>
    <row r="1892">
      <c r="D1892" s="12" t="n"/>
      <c r="E1892" s="12" t="n"/>
    </row>
    <row r="1893">
      <c r="D1893" s="12" t="n"/>
      <c r="E1893" s="12" t="n"/>
    </row>
    <row r="1894">
      <c r="D1894" s="12" t="n"/>
      <c r="E1894" s="12" t="n"/>
    </row>
    <row r="1895">
      <c r="D1895" s="12" t="n"/>
      <c r="E1895" s="12" t="n"/>
    </row>
    <row r="1896">
      <c r="D1896" s="12" t="n"/>
      <c r="E1896" s="12" t="n"/>
    </row>
    <row r="1897">
      <c r="D1897" s="12" t="n"/>
      <c r="E1897" s="12" t="n"/>
    </row>
    <row r="1898">
      <c r="D1898" s="12" t="n"/>
      <c r="E1898" s="12" t="n"/>
    </row>
    <row r="1899">
      <c r="D1899" s="12" t="n"/>
      <c r="E1899" s="12" t="n"/>
    </row>
    <row r="1900">
      <c r="D1900" s="12" t="n"/>
      <c r="E1900" s="12" t="n"/>
    </row>
    <row r="1901">
      <c r="D1901" s="12" t="n"/>
      <c r="E1901" s="12" t="n"/>
    </row>
    <row r="1902">
      <c r="D1902" s="12" t="n"/>
      <c r="E1902" s="12" t="n"/>
    </row>
    <row r="1903">
      <c r="D1903" s="12" t="n"/>
      <c r="E1903" s="12" t="n"/>
    </row>
    <row r="1904">
      <c r="D1904" s="12" t="n"/>
      <c r="E1904" s="12" t="n"/>
    </row>
    <row r="1905">
      <c r="D1905" s="12" t="n"/>
      <c r="E1905" s="12" t="n"/>
    </row>
    <row r="1906">
      <c r="D1906" s="12" t="n"/>
      <c r="E1906" s="12" t="n"/>
    </row>
    <row r="1907">
      <c r="D1907" s="12" t="n"/>
      <c r="E1907" s="12" t="n"/>
    </row>
    <row r="1908">
      <c r="D1908" s="12" t="n"/>
      <c r="E1908" s="12" t="n"/>
    </row>
    <row r="1909">
      <c r="D1909" s="12" t="n"/>
      <c r="E1909" s="12" t="n"/>
    </row>
    <row r="1910">
      <c r="D1910" s="12" t="n"/>
      <c r="E1910" s="12" t="n"/>
    </row>
    <row r="1911">
      <c r="D1911" s="12" t="n"/>
      <c r="E1911" s="12" t="n"/>
    </row>
    <row r="1912">
      <c r="D1912" s="12" t="n"/>
      <c r="E1912" s="12" t="n"/>
    </row>
    <row r="1913">
      <c r="D1913" s="12" t="n"/>
      <c r="E1913" s="12" t="n"/>
    </row>
    <row r="1914">
      <c r="D1914" s="12" t="n"/>
      <c r="E1914" s="12" t="n"/>
    </row>
    <row r="1915">
      <c r="D1915" s="12" t="n"/>
      <c r="E1915" s="12" t="n"/>
    </row>
    <row r="1916">
      <c r="D1916" s="12" t="n"/>
      <c r="E1916" s="12" t="n"/>
    </row>
    <row r="1917">
      <c r="D1917" s="12" t="n"/>
      <c r="E1917" s="12" t="n"/>
    </row>
    <row r="1918">
      <c r="D1918" s="12" t="n"/>
      <c r="E1918" s="12" t="n"/>
    </row>
    <row r="1919">
      <c r="D1919" s="12" t="n"/>
      <c r="E1919" s="12" t="n"/>
    </row>
    <row r="1920">
      <c r="D1920" s="12" t="n"/>
      <c r="E1920" s="12" t="n"/>
    </row>
    <row r="1921">
      <c r="D1921" s="12" t="n"/>
      <c r="E1921" s="12" t="n"/>
    </row>
    <row r="1922">
      <c r="D1922" s="12" t="n"/>
      <c r="E1922" s="12" t="n"/>
    </row>
    <row r="1923">
      <c r="D1923" s="12" t="n"/>
      <c r="E1923" s="12" t="n"/>
    </row>
    <row r="1924">
      <c r="D1924" s="12" t="n"/>
      <c r="E1924" s="12" t="n"/>
    </row>
    <row r="1925">
      <c r="D1925" s="12" t="n"/>
      <c r="E1925" s="12" t="n"/>
    </row>
    <row r="1926">
      <c r="D1926" s="12" t="n"/>
      <c r="E1926" s="12" t="n"/>
    </row>
    <row r="1927">
      <c r="D1927" s="12" t="n"/>
      <c r="E1927" s="12" t="n"/>
    </row>
    <row r="1928">
      <c r="D1928" s="12" t="n"/>
      <c r="E1928" s="12" t="n"/>
    </row>
    <row r="1929">
      <c r="D1929" s="12" t="n"/>
      <c r="E1929" s="12" t="n"/>
    </row>
    <row r="1930">
      <c r="D1930" s="12" t="n"/>
      <c r="E1930" s="12" t="n"/>
    </row>
    <row r="1931">
      <c r="D1931" s="12" t="n"/>
      <c r="E1931" s="12" t="n"/>
    </row>
    <row r="1932">
      <c r="D1932" s="12" t="n"/>
      <c r="E1932" s="12" t="n"/>
    </row>
    <row r="1933">
      <c r="D1933" s="12" t="n"/>
      <c r="E1933" s="12" t="n"/>
    </row>
    <row r="1934">
      <c r="D1934" s="12" t="n"/>
      <c r="E1934" s="12" t="n"/>
    </row>
    <row r="1935">
      <c r="D1935" s="12" t="n"/>
      <c r="E1935" s="12" t="n"/>
    </row>
    <row r="1936">
      <c r="D1936" s="12" t="n"/>
      <c r="E1936" s="12" t="n"/>
    </row>
    <row r="1937">
      <c r="D1937" s="12" t="n"/>
      <c r="E1937" s="12" t="n"/>
    </row>
    <row r="1938">
      <c r="D1938" s="12" t="n"/>
      <c r="E1938" s="12" t="n"/>
    </row>
    <row r="1939">
      <c r="D1939" s="12" t="n"/>
      <c r="E1939" s="12" t="n"/>
    </row>
    <row r="1940">
      <c r="D1940" s="12" t="n"/>
      <c r="E1940" s="12" t="n"/>
    </row>
    <row r="1941">
      <c r="D1941" s="12" t="n"/>
      <c r="E1941" s="12" t="n"/>
    </row>
    <row r="1942">
      <c r="D1942" s="12" t="n"/>
      <c r="E1942" s="12" t="n"/>
    </row>
    <row r="1943">
      <c r="D1943" s="12" t="n"/>
      <c r="E1943" s="12" t="n"/>
    </row>
    <row r="1944">
      <c r="D1944" s="12" t="n"/>
      <c r="E1944" s="12" t="n"/>
    </row>
    <row r="1945">
      <c r="D1945" s="12" t="n"/>
      <c r="E1945" s="12" t="n"/>
    </row>
    <row r="1946">
      <c r="D1946" s="12" t="n"/>
      <c r="E1946" s="12" t="n"/>
    </row>
    <row r="1947">
      <c r="D1947" s="12" t="n"/>
      <c r="E1947" s="12" t="n"/>
    </row>
    <row r="1948">
      <c r="D1948" s="12" t="n"/>
      <c r="E1948" s="12" t="n"/>
    </row>
    <row r="1949">
      <c r="D1949" s="12" t="n"/>
      <c r="E1949" s="12" t="n"/>
    </row>
    <row r="1950">
      <c r="D1950" s="12" t="n"/>
      <c r="E1950" s="12" t="n"/>
    </row>
    <row r="1951">
      <c r="D1951" s="12" t="n"/>
      <c r="E1951" s="12" t="n"/>
    </row>
    <row r="1952">
      <c r="D1952" s="12" t="n"/>
      <c r="E1952" s="12" t="n"/>
    </row>
    <row r="1953">
      <c r="D1953" s="12" t="n"/>
      <c r="E1953" s="12" t="n"/>
    </row>
    <row r="1954">
      <c r="D1954" s="12" t="n"/>
      <c r="E1954" s="12" t="n"/>
    </row>
    <row r="1955">
      <c r="D1955" s="12" t="n"/>
      <c r="E1955" s="12" t="n"/>
    </row>
    <row r="1956">
      <c r="D1956" s="12" t="n"/>
      <c r="E1956" s="12" t="n"/>
    </row>
    <row r="1957">
      <c r="D1957" s="12" t="n"/>
      <c r="E1957" s="12" t="n"/>
    </row>
    <row r="1958">
      <c r="D1958" s="12" t="n"/>
      <c r="E1958" s="12" t="n"/>
    </row>
    <row r="1959">
      <c r="D1959" s="12" t="n"/>
      <c r="E1959" s="12" t="n"/>
    </row>
    <row r="1960">
      <c r="D1960" s="12" t="n"/>
      <c r="E1960" s="12" t="n"/>
    </row>
    <row r="1961">
      <c r="D1961" s="12" t="n"/>
      <c r="E1961" s="12" t="n"/>
    </row>
    <row r="1962">
      <c r="D1962" s="12" t="n"/>
      <c r="E1962" s="12" t="n"/>
    </row>
    <row r="1963">
      <c r="D1963" s="12" t="n"/>
      <c r="E1963" s="12" t="n"/>
    </row>
    <row r="1964">
      <c r="D1964" s="12" t="n"/>
      <c r="E1964" s="12" t="n"/>
    </row>
    <row r="1965">
      <c r="D1965" s="12" t="n"/>
      <c r="E1965" s="12" t="n"/>
    </row>
    <row r="1966">
      <c r="D1966" s="12" t="n"/>
      <c r="E1966" s="12" t="n"/>
    </row>
    <row r="1967">
      <c r="D1967" s="12" t="n"/>
      <c r="E1967" s="12" t="n"/>
    </row>
    <row r="1968">
      <c r="D1968" s="12" t="n"/>
      <c r="E1968" s="12" t="n"/>
    </row>
    <row r="1969">
      <c r="D1969" s="12" t="n"/>
      <c r="E1969" s="12" t="n"/>
    </row>
    <row r="1970">
      <c r="D1970" s="12" t="n"/>
      <c r="E1970" s="12" t="n"/>
    </row>
    <row r="1971">
      <c r="D1971" s="12" t="n"/>
      <c r="E1971" s="12" t="n"/>
    </row>
    <row r="1972">
      <c r="D1972" s="12" t="n"/>
      <c r="E1972" s="12" t="n"/>
    </row>
    <row r="1973">
      <c r="D1973" s="12" t="n"/>
      <c r="E1973" s="12" t="n"/>
    </row>
    <row r="1974">
      <c r="D1974" s="12" t="n"/>
      <c r="E1974" s="12" t="n"/>
    </row>
    <row r="1975">
      <c r="D1975" s="12" t="n"/>
      <c r="E1975" s="12" t="n"/>
    </row>
    <row r="1976">
      <c r="D1976" s="12" t="n"/>
      <c r="E1976" s="12" t="n"/>
    </row>
    <row r="1977">
      <c r="D1977" s="12" t="n"/>
      <c r="E1977" s="12" t="n"/>
    </row>
    <row r="1978">
      <c r="D1978" s="12" t="n"/>
      <c r="E1978" s="12" t="n"/>
    </row>
    <row r="1979">
      <c r="D1979" s="12" t="n"/>
      <c r="E1979" s="12" t="n"/>
    </row>
    <row r="1980">
      <c r="D1980" s="12" t="n"/>
      <c r="E1980" s="12" t="n"/>
    </row>
    <row r="1981">
      <c r="D1981" s="12" t="n"/>
      <c r="E1981" s="12" t="n"/>
    </row>
    <row r="1982">
      <c r="D1982" s="12" t="n"/>
      <c r="E1982" s="12" t="n"/>
    </row>
    <row r="1983">
      <c r="D1983" s="12" t="n"/>
      <c r="E1983" s="12" t="n"/>
    </row>
    <row r="1984">
      <c r="D1984" s="12" t="n"/>
      <c r="E1984" s="12" t="n"/>
    </row>
    <row r="1985">
      <c r="D1985" s="12" t="n"/>
      <c r="E1985" s="12" t="n"/>
    </row>
    <row r="1986">
      <c r="D1986" s="12" t="n"/>
      <c r="E1986" s="12" t="n"/>
    </row>
    <row r="1987">
      <c r="D1987" s="12" t="n"/>
      <c r="E1987" s="12" t="n"/>
    </row>
    <row r="1988">
      <c r="D1988" s="12" t="n"/>
      <c r="E1988" s="12" t="n"/>
    </row>
    <row r="1989">
      <c r="D1989" s="12" t="n"/>
      <c r="E1989" s="12" t="n"/>
    </row>
    <row r="1990">
      <c r="D1990" s="12" t="n"/>
      <c r="E1990" s="12" t="n"/>
    </row>
    <row r="1991">
      <c r="D1991" s="12" t="n"/>
      <c r="E1991" s="12" t="n"/>
    </row>
    <row r="1992">
      <c r="D1992" s="12" t="n"/>
      <c r="E1992" s="12" t="n"/>
    </row>
    <row r="1993">
      <c r="D1993" s="12" t="n"/>
      <c r="E1993" s="12" t="n"/>
    </row>
    <row r="1994">
      <c r="D1994" s="12" t="n"/>
      <c r="E1994" s="12" t="n"/>
    </row>
    <row r="1995">
      <c r="D1995" s="12" t="n"/>
      <c r="E1995" s="12" t="n"/>
    </row>
    <row r="1996">
      <c r="D1996" s="12" t="n"/>
      <c r="E1996" s="12" t="n"/>
    </row>
    <row r="1997">
      <c r="D1997" s="12" t="n"/>
      <c r="E1997" s="12" t="n"/>
    </row>
    <row r="1998">
      <c r="D1998" s="12" t="n"/>
      <c r="E1998" s="12" t="n"/>
    </row>
    <row r="1999">
      <c r="D1999" s="12" t="n"/>
      <c r="E1999" s="12" t="n"/>
    </row>
    <row r="2000">
      <c r="D2000" s="12" t="n"/>
      <c r="E2000" s="12" t="n"/>
    </row>
  </sheetData>
  <autoFilter ref="A1:I2000"/>
  <dataValidations count="1">
    <dataValidation sqref="B2:B2000" showDropDown="0" showInputMessage="0" showErrorMessage="0" allowBlank="1" type="list">
      <formula1>"GROUND_TRUTH,WILSIFY_AI,CHORD_AI,OTHER_REPO,CLAUDE"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02"/>
  <sheetViews>
    <sheetView tabSelected="1" workbookViewId="0">
      <pane xSplit="2" ySplit="1" topLeftCell="D6" activePane="bottomRight" state="frozen"/>
      <selection pane="topRight" activeCell="A1" sqref="A1"/>
      <selection pane="bottomLeft" activeCell="A1" sqref="A1"/>
      <selection pane="bottomRight" activeCell="O26" sqref="O26"/>
    </sheetView>
  </sheetViews>
  <sheetFormatPr baseColWidth="8" defaultRowHeight="14.4"/>
  <cols>
    <col width="10" customWidth="1" min="1" max="2"/>
    <col width="14" customWidth="1" min="3" max="37"/>
    <col width="50" customWidth="1" min="38" max="38"/>
  </cols>
  <sheetData>
    <row r="1" ht="48" customHeight="1">
      <c r="A1" s="33" t="inlineStr">
        <is>
          <t>Test ID</t>
        </is>
      </c>
      <c r="B1" s="33" t="inlineStr">
        <is>
          <t>Note #</t>
        </is>
      </c>
      <c r="C1" s="33" t="inlineStr">
        <is>
          <t>Start Time (sec) - By Ear</t>
        </is>
      </c>
      <c r="D1" s="33" t="inlineStr">
        <is>
          <t>Start Time (sec) - Wilsify AI</t>
        </is>
      </c>
      <c r="E1" s="33" t="inlineStr">
        <is>
          <t>Start Time (sec) - Chord AI</t>
        </is>
      </c>
      <c r="F1" s="33" t="inlineStr">
        <is>
          <t>Start Time (sec) - Other Repo</t>
        </is>
      </c>
      <c r="G1" s="33" t="inlineStr">
        <is>
          <t>Start Time (sec) - Claude</t>
        </is>
      </c>
      <c r="H1" s="34" t="inlineStr">
        <is>
          <t>End Time (sec) - By Ear</t>
        </is>
      </c>
      <c r="I1" s="34" t="inlineStr">
        <is>
          <t>End Time (sec) - Wilsify AI</t>
        </is>
      </c>
      <c r="J1" s="34" t="inlineStr">
        <is>
          <t>End Time (sec) - Chord AI</t>
        </is>
      </c>
      <c r="K1" s="34" t="inlineStr">
        <is>
          <t>End Time (sec) - Other Repo</t>
        </is>
      </c>
      <c r="L1" s="34" t="inlineStr">
        <is>
          <t>End Time (sec) - Claude</t>
        </is>
      </c>
      <c r="M1" s="33" t="inlineStr">
        <is>
          <t>Raw Note - By Ear</t>
        </is>
      </c>
      <c r="N1" s="33" t="inlineStr">
        <is>
          <t>Raw Note - Wilsify AI</t>
        </is>
      </c>
      <c r="O1" s="33" t="inlineStr">
        <is>
          <t>Raw Note - Chord AI</t>
        </is>
      </c>
      <c r="P1" s="33" t="inlineStr">
        <is>
          <t>Raw Note - Other Repo</t>
        </is>
      </c>
      <c r="Q1" s="33" t="inlineStr">
        <is>
          <t>Raw Note - Claude</t>
        </is>
      </c>
      <c r="R1" s="33" t="inlineStr">
        <is>
          <t>Normalized Note - By Ear</t>
        </is>
      </c>
      <c r="S1" s="33" t="inlineStr">
        <is>
          <t>Normalized Note - Wilsify AI</t>
        </is>
      </c>
      <c r="T1" s="33" t="inlineStr">
        <is>
          <t>Normalized Note - Chord AI</t>
        </is>
      </c>
      <c r="U1" s="33" t="inlineStr">
        <is>
          <t>Normalized Note - Other Repo</t>
        </is>
      </c>
      <c r="V1" s="33" t="inlineStr">
        <is>
          <t>Normalized Note - Claude</t>
        </is>
      </c>
      <c r="W1" s="33" t="inlineStr">
        <is>
          <t>Octave - By Ear</t>
        </is>
      </c>
      <c r="X1" s="33" t="inlineStr">
        <is>
          <t>Octave - Wilsify AI</t>
        </is>
      </c>
      <c r="Y1" s="33" t="inlineStr">
        <is>
          <t>Octave - Chord AI</t>
        </is>
      </c>
      <c r="Z1" s="33" t="inlineStr">
        <is>
          <t>Octave - Other Repo</t>
        </is>
      </c>
      <c r="AA1" s="33" t="inlineStr">
        <is>
          <t>Octave - Claude</t>
        </is>
      </c>
      <c r="AB1" s="33" t="inlineStr">
        <is>
          <t>Frequency Hz - By Ear</t>
        </is>
      </c>
      <c r="AC1" s="33" t="inlineStr">
        <is>
          <t>Frequency Hz - Wilsify AI</t>
        </is>
      </c>
      <c r="AD1" s="33" t="inlineStr">
        <is>
          <t>Frequency Hz - Chord AI</t>
        </is>
      </c>
      <c r="AE1" s="33" t="inlineStr">
        <is>
          <t>Frequency Hz - Other Repo</t>
        </is>
      </c>
      <c r="AF1" s="33" t="inlineStr">
        <is>
          <t>Frequency Hz - Claude</t>
        </is>
      </c>
      <c r="AG1" s="33" t="inlineStr">
        <is>
          <t>Confidence - By Ear</t>
        </is>
      </c>
      <c r="AH1" s="33" t="inlineStr">
        <is>
          <t>Confidence - Wilsify AI</t>
        </is>
      </c>
      <c r="AI1" s="33" t="inlineStr">
        <is>
          <t>Confidence - Chord AI</t>
        </is>
      </c>
      <c r="AJ1" s="33" t="inlineStr">
        <is>
          <t>Confidence - Other Repo</t>
        </is>
      </c>
      <c r="AK1" s="33" t="inlineStr">
        <is>
          <t>Confidence - Claude</t>
        </is>
      </c>
      <c r="AL1" s="33" t="inlineStr">
        <is>
          <t>Comments</t>
        </is>
      </c>
    </row>
    <row r="2">
      <c r="A2" s="35" t="inlineStr">
        <is>
          <t>TEST_001</t>
        </is>
      </c>
      <c r="B2" s="35" t="n">
        <v>1</v>
      </c>
      <c r="C2" s="36" t="n"/>
      <c r="D2" s="36" t="n"/>
      <c r="E2" s="37" t="n">
        <v>0.0006944444444444445</v>
      </c>
      <c r="F2" s="36" t="n">
        <v>3.13</v>
      </c>
      <c r="G2" s="36" t="n">
        <v>3.09</v>
      </c>
      <c r="H2" s="36" t="n"/>
      <c r="I2" s="36" t="n"/>
      <c r="J2" s="36" t="n"/>
      <c r="K2" s="36" t="n">
        <v>3.54</v>
      </c>
      <c r="L2" s="36" t="n">
        <v>3.32</v>
      </c>
      <c r="M2" s="36" t="n"/>
      <c r="N2" s="36" t="inlineStr">
        <is>
          <t>N/A</t>
        </is>
      </c>
      <c r="O2" s="36" t="inlineStr">
        <is>
          <t>N/A</t>
        </is>
      </c>
      <c r="P2" s="36" t="inlineStr">
        <is>
          <t>C#4</t>
        </is>
      </c>
      <c r="Q2" s="36" t="inlineStr">
        <is>
          <t>F#2</t>
        </is>
      </c>
      <c r="R2" s="38">
        <f>IF(M2="","",LEFT(M2,LEN(M2)-1))</f>
        <v/>
      </c>
      <c r="S2" s="38">
        <f>IF(N2="","",LEFT(N2,LEN(N2)-1))</f>
        <v/>
      </c>
      <c r="T2" s="38">
        <f>IF(O2="","",LEFT(O2,LEN(O2)-1))</f>
        <v/>
      </c>
      <c r="U2" s="38">
        <f>IF(P2="","",LEFT(P2,LEN(P2)-1))</f>
        <v/>
      </c>
      <c r="V2" s="38">
        <f>IF(Q2="","",LEFT(Q2,LEN(Q2)-1))</f>
        <v/>
      </c>
      <c r="W2" s="38">
        <f>IF(M2="","",IFERROR(VALUE(RIGHT(M2,1)),""))</f>
        <v/>
      </c>
      <c r="X2" s="38">
        <f>IF(N2="","",IFERROR(VALUE(RIGHT(N2,1)),""))</f>
        <v/>
      </c>
      <c r="Y2" s="38">
        <f>IF(O2="","",IFERROR(VALUE(RIGHT(O2,1)),""))</f>
        <v/>
      </c>
      <c r="Z2" s="38">
        <f>IF(P2="","",IFERROR(VALUE(RIGHT(P2,1)),""))</f>
        <v/>
      </c>
      <c r="AA2" s="38">
        <f>IF(Q2="","",IFERROR(VALUE(RIGHT(Q2,1)),""))</f>
        <v/>
      </c>
      <c r="AB2" s="38">
        <f>IF(OR(M2="",W2=""),"",IFERROR(ROUND(440*2^((12*(W2+1)+IFERROR(MATCH(R2,{"C","C#","D","D#","E","F","F#","G","G#","A","A#","B"},0)-1,MATCH(R2,{"C","Db","D","Eb","E","F","Gb","G","Ab","A","Bb","B"},0)-1)-69)/12),2),""))</f>
        <v/>
      </c>
      <c r="AC2" s="38">
        <f>IF(OR(N2="",X2=""),"",IFERROR(ROUND(440*2^((12*(X2+1)+IFERROR(MATCH(S2,{"C","C#","D","D#","E","F","F#","G","G#","A","A#","B"},0)-1,MATCH(S2,{"C","Db","D","Eb","E","F","Gb","G","Ab","A","Bb","B"},0)-1)-69)/12),2),""))</f>
        <v/>
      </c>
      <c r="AD2" s="38">
        <f>IF(OR(O2="",Y2=""),"",IFERROR(ROUND(440*2^((12*(Y2+1)+IFERROR(MATCH(T2,{"C","C#","D","D#","E","F","F#","G","G#","A","A#","B"},0)-1,MATCH(T2,{"C","Db","D","Eb","E","F","Gb","G","Ab","A","Bb","B"},0)-1)-69)/12),2),""))</f>
        <v/>
      </c>
      <c r="AE2" s="38">
        <f>IF(OR(P2="",Z2=""),"",IFERROR(ROUND(440*2^((12*(Z2+1)+IFERROR(MATCH(U2,{"C","C#","D","D#","E","F","F#","G","G#","A","A#","B"},0)-1,MATCH(U2,{"C","Db","D","Eb","E","F","Gb","G","Ab","A","Bb","B"},0)-1)-69)/12),2),""))</f>
        <v/>
      </c>
      <c r="AF2" s="38">
        <f>IF(OR(Q2="",AA2=""),"",IFERROR(ROUND(440*2^((12*(AA2+1)+IFERROR(MATCH(V2,{"C","C#","D","D#","E","F","F#","G","G#","A","A#","B"},0)-1,MATCH(V2,{"C","Db","D","Eb","E","F","Gb","G","Ab","A","Bb","B"},0)-1)-69)/12),2),""))</f>
        <v/>
      </c>
      <c r="AG2" s="36" t="n"/>
      <c r="AH2" s="36" t="n"/>
      <c r="AI2" s="36" t="n"/>
      <c r="AJ2" s="36" t="inlineStr">
        <is>
          <t>Low</t>
        </is>
      </c>
      <c r="AK2" s="36" t="inlineStr">
        <is>
          <t>Low</t>
        </is>
      </c>
      <c r="AL2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3">
      <c r="A3" s="35" t="inlineStr">
        <is>
          <t>TEST_001</t>
        </is>
      </c>
      <c r="B3" s="35" t="n">
        <v>2</v>
      </c>
      <c r="C3" s="36" t="n"/>
      <c r="D3" s="36" t="n"/>
      <c r="E3" s="37" t="n">
        <v>0.002083333333333333</v>
      </c>
      <c r="F3" s="36" t="n">
        <v>5.6</v>
      </c>
      <c r="G3" s="36" t="n">
        <v>5.32</v>
      </c>
      <c r="H3" s="36" t="n"/>
      <c r="I3" s="36" t="n"/>
      <c r="J3" s="36" t="n"/>
      <c r="K3" s="36" t="n">
        <v>5.83</v>
      </c>
      <c r="L3" s="36" t="n">
        <v>5.5</v>
      </c>
      <c r="M3" s="36" t="n"/>
      <c r="N3" s="36" t="n"/>
      <c r="O3" s="36" t="inlineStr">
        <is>
          <t>D</t>
        </is>
      </c>
      <c r="P3" s="36" t="inlineStr">
        <is>
          <t>C4</t>
        </is>
      </c>
      <c r="Q3" s="36" t="inlineStr">
        <is>
          <t>A#3</t>
        </is>
      </c>
      <c r="R3" s="38">
        <f>IF(M3="","",LEFT(M3,LEN(M3)-1))</f>
        <v/>
      </c>
      <c r="S3" s="38">
        <f>IF(N3="","",LEFT(N3,LEN(N3)-1))</f>
        <v/>
      </c>
      <c r="T3" s="38">
        <f>IF(O3="","",LEFT(O3,LEN(O3)-1))</f>
        <v/>
      </c>
      <c r="U3" s="38">
        <f>IF(P3="","",LEFT(P3,LEN(P3)-1))</f>
        <v/>
      </c>
      <c r="V3" s="38">
        <f>IF(Q3="","",LEFT(Q3,LEN(Q3)-1))</f>
        <v/>
      </c>
      <c r="W3" s="38">
        <f>IF(M3="","",IFERROR(VALUE(RIGHT(M3,1)),""))</f>
        <v/>
      </c>
      <c r="X3" s="38">
        <f>IF(N3="","",IFERROR(VALUE(RIGHT(N3,1)),""))</f>
        <v/>
      </c>
      <c r="Y3" s="38">
        <f>IF(O3="","",IFERROR(VALUE(RIGHT(O3,1)),""))</f>
        <v/>
      </c>
      <c r="Z3" s="38">
        <f>IF(P3="","",IFERROR(VALUE(RIGHT(P3,1)),""))</f>
        <v/>
      </c>
      <c r="AA3" s="38">
        <f>IF(Q3="","",IFERROR(VALUE(RIGHT(Q3,1)),""))</f>
        <v/>
      </c>
      <c r="AB3" s="38">
        <f>IF(OR(M3="",W3=""),"",IFERROR(ROUND(440*2^((12*(W3+1)+IFERROR(MATCH(R3,{"C","C#","D","D#","E","F","F#","G","G#","A","A#","B"},0)-1,MATCH(R3,{"C","Db","D","Eb","E","F","Gb","G","Ab","A","Bb","B"},0)-1)-69)/12),2),""))</f>
        <v/>
      </c>
      <c r="AC3" s="38">
        <f>IF(OR(N3="",X3=""),"",IFERROR(ROUND(440*2^((12*(X3+1)+IFERROR(MATCH(S3,{"C","C#","D","D#","E","F","F#","G","G#","A","A#","B"},0)-1,MATCH(S3,{"C","Db","D","Eb","E","F","Gb","G","Ab","A","Bb","B"},0)-1)-69)/12),2),""))</f>
        <v/>
      </c>
      <c r="AD3" s="38">
        <f>IF(OR(O3="",Y3=""),"",IFERROR(ROUND(440*2^((12*(Y3+1)+IFERROR(MATCH(T3,{"C","C#","D","D#","E","F","F#","G","G#","A","A#","B"},0)-1,MATCH(T3,{"C","Db","D","Eb","E","F","Gb","G","Ab","A","Bb","B"},0)-1)-69)/12),2),""))</f>
        <v/>
      </c>
      <c r="AE3" s="38">
        <f>IF(OR(P3="",Z3=""),"",IFERROR(ROUND(440*2^((12*(Z3+1)+IFERROR(MATCH(U3,{"C","C#","D","D#","E","F","F#","G","G#","A","A#","B"},0)-1,MATCH(U3,{"C","Db","D","Eb","E","F","Gb","G","Ab","A","Bb","B"},0)-1)-69)/12),2),""))</f>
        <v/>
      </c>
      <c r="AF3" s="38">
        <f>IF(OR(Q3="",AA3=""),"",IFERROR(ROUND(440*2^((12*(AA3+1)+IFERROR(MATCH(V3,{"C","C#","D","D#","E","F","F#","G","G#","A","A#","B"},0)-1,MATCH(V3,{"C","Db","D","Eb","E","F","Gb","G","Ab","A","Bb","B"},0)-1)-69)/12),2),""))</f>
        <v/>
      </c>
      <c r="AG3" s="36" t="n"/>
      <c r="AH3" s="36" t="n"/>
      <c r="AI3" s="36" t="n"/>
      <c r="AJ3" s="36" t="inlineStr">
        <is>
          <t>Low</t>
        </is>
      </c>
      <c r="AK3" s="36" t="inlineStr">
        <is>
          <t>Low</t>
        </is>
      </c>
      <c r="AL3" s="35" t="n"/>
    </row>
    <row r="4">
      <c r="A4" s="35" t="inlineStr">
        <is>
          <t>TEST_001</t>
        </is>
      </c>
      <c r="B4" s="35" t="n">
        <v>3</v>
      </c>
      <c r="C4" s="36" t="n"/>
      <c r="D4" s="36" t="n"/>
      <c r="E4" s="36" t="inlineStr">
        <is>
          <t>00:07-00:08</t>
        </is>
      </c>
      <c r="F4" s="36" t="n">
        <v>5.84</v>
      </c>
      <c r="G4" s="36" t="n">
        <v>7.34</v>
      </c>
      <c r="H4" s="36" t="n"/>
      <c r="I4" s="36" t="n"/>
      <c r="J4" s="36" t="n"/>
      <c r="K4" s="36" t="n">
        <v>6.17</v>
      </c>
      <c r="L4" s="36" t="n">
        <v>7.58</v>
      </c>
      <c r="M4" s="36" t="n"/>
      <c r="N4" s="36" t="n"/>
      <c r="O4" s="36" t="inlineStr">
        <is>
          <t>G-D</t>
        </is>
      </c>
      <c r="P4" s="36" t="inlineStr">
        <is>
          <t>C#4</t>
        </is>
      </c>
      <c r="Q4" s="36" t="inlineStr">
        <is>
          <t>F#3</t>
        </is>
      </c>
      <c r="R4" s="38">
        <f>IF(M4="","",LEFT(M4,LEN(M4)-1))</f>
        <v/>
      </c>
      <c r="S4" s="38">
        <f>IF(N4="","",LEFT(N4,LEN(N4)-1))</f>
        <v/>
      </c>
      <c r="T4" s="38">
        <f>IF(O4="","",LEFT(O4,LEN(O4)-1))</f>
        <v/>
      </c>
      <c r="U4" s="38">
        <f>IF(P4="","",LEFT(P4,LEN(P4)-1))</f>
        <v/>
      </c>
      <c r="V4" s="38">
        <f>IF(Q4="","",LEFT(Q4,LEN(Q4)-1))</f>
        <v/>
      </c>
      <c r="W4" s="38">
        <f>IF(M4="","",IFERROR(VALUE(RIGHT(M4,1)),""))</f>
        <v/>
      </c>
      <c r="X4" s="38">
        <f>IF(N4="","",IFERROR(VALUE(RIGHT(N4,1)),""))</f>
        <v/>
      </c>
      <c r="Y4" s="38">
        <f>IF(O4="","",IFERROR(VALUE(RIGHT(O4,1)),""))</f>
        <v/>
      </c>
      <c r="Z4" s="38">
        <f>IF(P4="","",IFERROR(VALUE(RIGHT(P4,1)),""))</f>
        <v/>
      </c>
      <c r="AA4" s="38">
        <f>IF(Q4="","",IFERROR(VALUE(RIGHT(Q4,1)),""))</f>
        <v/>
      </c>
      <c r="AB4" s="38">
        <f>IF(OR(M4="",W4=""),"",IFERROR(ROUND(440*2^((12*(W4+1)+IFERROR(MATCH(R4,{"C","C#","D","D#","E","F","F#","G","G#","A","A#","B"},0)-1,MATCH(R4,{"C","Db","D","Eb","E","F","Gb","G","Ab","A","Bb","B"},0)-1)-69)/12),2),""))</f>
        <v/>
      </c>
      <c r="AC4" s="38">
        <f>IF(OR(N4="",X4=""),"",IFERROR(ROUND(440*2^((12*(X4+1)+IFERROR(MATCH(S4,{"C","C#","D","D#","E","F","F#","G","G#","A","A#","B"},0)-1,MATCH(S4,{"C","Db","D","Eb","E","F","Gb","G","Ab","A","Bb","B"},0)-1)-69)/12),2),""))</f>
        <v/>
      </c>
      <c r="AD4" s="38">
        <f>IF(OR(O4="",Y4=""),"",IFERROR(ROUND(440*2^((12*(Y4+1)+IFERROR(MATCH(T4,{"C","C#","D","D#","E","F","F#","G","G#","A","A#","B"},0)-1,MATCH(T4,{"C","Db","D","Eb","E","F","Gb","G","Ab","A","Bb","B"},0)-1)-69)/12),2),""))</f>
        <v/>
      </c>
      <c r="AE4" s="38">
        <f>IF(OR(P4="",Z4=""),"",IFERROR(ROUND(440*2^((12*(Z4+1)+IFERROR(MATCH(U4,{"C","C#","D","D#","E","F","F#","G","G#","A","A#","B"},0)-1,MATCH(U4,{"C","Db","D","Eb","E","F","Gb","G","Ab","A","Bb","B"},0)-1)-69)/12),2),""))</f>
        <v/>
      </c>
      <c r="AF4" s="38">
        <f>IF(OR(Q4="",AA4=""),"",IFERROR(ROUND(440*2^((12*(AA4+1)+IFERROR(MATCH(V4,{"C","C#","D","D#","E","F","F#","G","G#","A","A#","B"},0)-1,MATCH(V4,{"C","Db","D","Eb","E","F","Gb","G","Ab","A","Bb","B"},0)-1)-69)/12),2),""))</f>
        <v/>
      </c>
      <c r="AG4" s="36" t="n"/>
      <c r="AH4" s="36" t="n"/>
      <c r="AI4" s="36" t="n"/>
      <c r="AJ4" s="36" t="inlineStr">
        <is>
          <t>Low</t>
        </is>
      </c>
      <c r="AK4" s="36" t="inlineStr">
        <is>
          <t>Low</t>
        </is>
      </c>
      <c r="AL4" s="35" t="n"/>
    </row>
    <row r="5">
      <c r="A5" s="35" t="inlineStr">
        <is>
          <t>TEST_001</t>
        </is>
      </c>
      <c r="B5" s="35" t="n">
        <v>4</v>
      </c>
      <c r="C5" s="36" t="n"/>
      <c r="D5" s="36" t="n"/>
      <c r="E5" s="37" t="n">
        <v>0.00625</v>
      </c>
      <c r="F5" s="36" t="n">
        <v>6.18</v>
      </c>
      <c r="G5" s="36" t="n">
        <v>9.09</v>
      </c>
      <c r="H5" s="36" t="n"/>
      <c r="I5" s="36" t="n"/>
      <c r="J5" s="36" t="n"/>
      <c r="K5" s="36" t="n">
        <v>6.35</v>
      </c>
      <c r="L5" s="36" t="n">
        <v>9.25</v>
      </c>
      <c r="M5" s="36" t="n"/>
      <c r="N5" s="36" t="n"/>
      <c r="O5" s="36" t="inlineStr">
        <is>
          <t>Em7</t>
        </is>
      </c>
      <c r="P5" s="36" t="inlineStr">
        <is>
          <t>C#4</t>
        </is>
      </c>
      <c r="Q5" s="36" t="inlineStr">
        <is>
          <t>G#3</t>
        </is>
      </c>
      <c r="R5" s="38">
        <f>IF(M5="","",LEFT(M5,LEN(M5)-1))</f>
        <v/>
      </c>
      <c r="S5" s="38">
        <f>IF(N5="","",LEFT(N5,LEN(N5)-1))</f>
        <v/>
      </c>
      <c r="T5" s="38">
        <f>IF(O5="","",LEFT(O5,LEN(O5)-1))</f>
        <v/>
      </c>
      <c r="U5" s="38">
        <f>IF(P5="","",LEFT(P5,LEN(P5)-1))</f>
        <v/>
      </c>
      <c r="V5" s="38">
        <f>IF(Q5="","",LEFT(Q5,LEN(Q5)-1))</f>
        <v/>
      </c>
      <c r="W5" s="38">
        <f>IF(M5="","",IFERROR(VALUE(RIGHT(M5,1)),""))</f>
        <v/>
      </c>
      <c r="X5" s="38">
        <f>IF(N5="","",IFERROR(VALUE(RIGHT(N5,1)),""))</f>
        <v/>
      </c>
      <c r="Y5" s="38">
        <f>IF(O5="","",IFERROR(VALUE(RIGHT(O5,1)),""))</f>
        <v/>
      </c>
      <c r="Z5" s="38">
        <f>IF(P5="","",IFERROR(VALUE(RIGHT(P5,1)),""))</f>
        <v/>
      </c>
      <c r="AA5" s="38">
        <f>IF(Q5="","",IFERROR(VALUE(RIGHT(Q5,1)),""))</f>
        <v/>
      </c>
      <c r="AB5" s="38">
        <f>IF(OR(M5="",W5=""),"",IFERROR(ROUND(440*2^((12*(W5+1)+IFERROR(MATCH(R5,{"C","C#","D","D#","E","F","F#","G","G#","A","A#","B"},0)-1,MATCH(R5,{"C","Db","D","Eb","E","F","Gb","G","Ab","A","Bb","B"},0)-1)-69)/12),2),""))</f>
        <v/>
      </c>
      <c r="AC5" s="38">
        <f>IF(OR(N5="",X5=""),"",IFERROR(ROUND(440*2^((12*(X5+1)+IFERROR(MATCH(S5,{"C","C#","D","D#","E","F","F#","G","G#","A","A#","B"},0)-1,MATCH(S5,{"C","Db","D","Eb","E","F","Gb","G","Ab","A","Bb","B"},0)-1)-69)/12),2),""))</f>
        <v/>
      </c>
      <c r="AD5" s="38">
        <f>IF(OR(O5="",Y5=""),"",IFERROR(ROUND(440*2^((12*(Y5+1)+IFERROR(MATCH(T5,{"C","C#","D","D#","E","F","F#","G","G#","A","A#","B"},0)-1,MATCH(T5,{"C","Db","D","Eb","E","F","Gb","G","Ab","A","Bb","B"},0)-1)-69)/12),2),""))</f>
        <v/>
      </c>
      <c r="AE5" s="38">
        <f>IF(OR(P5="",Z5=""),"",IFERROR(ROUND(440*2^((12*(Z5+1)+IFERROR(MATCH(U5,{"C","C#","D","D#","E","F","F#","G","G#","A","A#","B"},0)-1,MATCH(U5,{"C","Db","D","Eb","E","F","Gb","G","Ab","A","Bb","B"},0)-1)-69)/12),2),""))</f>
        <v/>
      </c>
      <c r="AF5" s="38">
        <f>IF(OR(Q5="",AA5=""),"",IFERROR(ROUND(440*2^((12*(AA5+1)+IFERROR(MATCH(V5,{"C","C#","D","D#","E","F","F#","G","G#","A","A#","B"},0)-1,MATCH(V5,{"C","Db","D","Eb","E","F","Gb","G","Ab","A","Bb","B"},0)-1)-69)/12),2),""))</f>
        <v/>
      </c>
      <c r="AG5" s="36" t="n"/>
      <c r="AH5" s="36" t="n"/>
      <c r="AI5" s="36" t="n"/>
      <c r="AJ5" s="36" t="inlineStr">
        <is>
          <t>Low</t>
        </is>
      </c>
      <c r="AK5" s="36" t="inlineStr">
        <is>
          <t>Low</t>
        </is>
      </c>
      <c r="AL5" s="35" t="n"/>
    </row>
    <row r="6">
      <c r="A6" s="35" t="inlineStr">
        <is>
          <t>TEST_001</t>
        </is>
      </c>
      <c r="B6" s="35" t="n">
        <v>5</v>
      </c>
      <c r="C6" s="36" t="n"/>
      <c r="D6" s="36" t="n"/>
      <c r="E6" s="37" t="n">
        <v>0.007638888888888889</v>
      </c>
      <c r="F6" s="36" t="n">
        <v>6.81</v>
      </c>
      <c r="G6" s="36" t="n">
        <v>9.33</v>
      </c>
      <c r="H6" s="36" t="n"/>
      <c r="I6" s="36" t="n"/>
      <c r="J6" s="36" t="n"/>
      <c r="K6" s="36" t="n">
        <v>7.22</v>
      </c>
      <c r="L6" s="36" t="n">
        <v>9.56</v>
      </c>
      <c r="M6" s="36" t="n"/>
      <c r="N6" s="36" t="n"/>
      <c r="O6" s="36" t="inlineStr">
        <is>
          <t>D</t>
        </is>
      </c>
      <c r="P6" s="36" t="inlineStr">
        <is>
          <t>A#3</t>
        </is>
      </c>
      <c r="Q6" s="36" t="inlineStr">
        <is>
          <t>B3</t>
        </is>
      </c>
      <c r="R6" s="38">
        <f>IF(M6="","",LEFT(M6,LEN(M6)-1))</f>
        <v/>
      </c>
      <c r="S6" s="38">
        <f>IF(N6="","",LEFT(N6,LEN(N6)-1))</f>
        <v/>
      </c>
      <c r="T6" s="38">
        <f>IF(O6="","",LEFT(O6,LEN(O6)-1))</f>
        <v/>
      </c>
      <c r="U6" s="38">
        <f>IF(P6="","",LEFT(P6,LEN(P6)-1))</f>
        <v/>
      </c>
      <c r="V6" s="38">
        <f>IF(Q6="","",LEFT(Q6,LEN(Q6)-1))</f>
        <v/>
      </c>
      <c r="W6" s="38">
        <f>IF(M6="","",IFERROR(VALUE(RIGHT(M6,1)),""))</f>
        <v/>
      </c>
      <c r="X6" s="38">
        <f>IF(N6="","",IFERROR(VALUE(RIGHT(N6,1)),""))</f>
        <v/>
      </c>
      <c r="Y6" s="38">
        <f>IF(O6="","",IFERROR(VALUE(RIGHT(O6,1)),""))</f>
        <v/>
      </c>
      <c r="Z6" s="38">
        <f>IF(P6="","",IFERROR(VALUE(RIGHT(P6,1)),""))</f>
        <v/>
      </c>
      <c r="AA6" s="38">
        <f>IF(Q6="","",IFERROR(VALUE(RIGHT(Q6,1)),""))</f>
        <v/>
      </c>
      <c r="AB6" s="38">
        <f>IF(OR(M6="",W6=""),"",IFERROR(ROUND(440*2^((12*(W6+1)+IFERROR(MATCH(R6,{"C","C#","D","D#","E","F","F#","G","G#","A","A#","B"},0)-1,MATCH(R6,{"C","Db","D","Eb","E","F","Gb","G","Ab","A","Bb","B"},0)-1)-69)/12),2),""))</f>
        <v/>
      </c>
      <c r="AC6" s="38">
        <f>IF(OR(N6="",X6=""),"",IFERROR(ROUND(440*2^((12*(X6+1)+IFERROR(MATCH(S6,{"C","C#","D","D#","E","F","F#","G","G#","A","A#","B"},0)-1,MATCH(S6,{"C","Db","D","Eb","E","F","Gb","G","Ab","A","Bb","B"},0)-1)-69)/12),2),""))</f>
        <v/>
      </c>
      <c r="AD6" s="38">
        <f>IF(OR(O6="",Y6=""),"",IFERROR(ROUND(440*2^((12*(Y6+1)+IFERROR(MATCH(T6,{"C","C#","D","D#","E","F","F#","G","G#","A","A#","B"},0)-1,MATCH(T6,{"C","Db","D","Eb","E","F","Gb","G","Ab","A","Bb","B"},0)-1)-69)/12),2),""))</f>
        <v/>
      </c>
      <c r="AE6" s="38">
        <f>IF(OR(P6="",Z6=""),"",IFERROR(ROUND(440*2^((12*(Z6+1)+IFERROR(MATCH(U6,{"C","C#","D","D#","E","F","F#","G","G#","A","A#","B"},0)-1,MATCH(U6,{"C","Db","D","Eb","E","F","Gb","G","Ab","A","Bb","B"},0)-1)-69)/12),2),""))</f>
        <v/>
      </c>
      <c r="AF6" s="38">
        <f>IF(OR(Q6="",AA6=""),"",IFERROR(ROUND(440*2^((12*(AA6+1)+IFERROR(MATCH(V6,{"C","C#","D","D#","E","F","F#","G","G#","A","A#","B"},0)-1,MATCH(V6,{"C","Db","D","Eb","E","F","Gb","G","Ab","A","Bb","B"},0)-1)-69)/12),2),""))</f>
        <v/>
      </c>
      <c r="AG6" s="36" t="n"/>
      <c r="AH6" s="36" t="n"/>
      <c r="AI6" s="36" t="n"/>
      <c r="AJ6" s="36" t="inlineStr">
        <is>
          <t>Low</t>
        </is>
      </c>
      <c r="AK6" s="36" t="inlineStr">
        <is>
          <t>Low</t>
        </is>
      </c>
      <c r="AL6" s="35" t="n"/>
    </row>
    <row r="7">
      <c r="A7" s="35" t="inlineStr">
        <is>
          <t>TEST_001</t>
        </is>
      </c>
      <c r="B7" s="35" t="n">
        <v>6</v>
      </c>
      <c r="C7" s="36" t="n"/>
      <c r="D7" s="36" t="n"/>
      <c r="E7" s="37" t="n">
        <v>0.01111111111111111</v>
      </c>
      <c r="F7" s="36" t="n">
        <v>7.88</v>
      </c>
      <c r="G7" s="36" t="n">
        <v>9.65</v>
      </c>
      <c r="H7" s="36" t="n"/>
      <c r="I7" s="36" t="n"/>
      <c r="J7" s="36" t="n"/>
      <c r="K7" s="36" t="n">
        <v>8.130000000000001</v>
      </c>
      <c r="L7" s="36" t="n">
        <v>9.83</v>
      </c>
      <c r="M7" s="36" t="n"/>
      <c r="N7" s="36" t="n"/>
      <c r="O7" s="36" t="inlineStr">
        <is>
          <t>C</t>
        </is>
      </c>
      <c r="P7" s="36" t="inlineStr">
        <is>
          <t>A#3</t>
        </is>
      </c>
      <c r="Q7" s="36" t="inlineStr">
        <is>
          <t>E2</t>
        </is>
      </c>
      <c r="R7" s="38">
        <f>IF(M7="","",LEFT(M7,LEN(M7)-1))</f>
        <v/>
      </c>
      <c r="S7" s="38">
        <f>IF(N7="","",LEFT(N7,LEN(N7)-1))</f>
        <v/>
      </c>
      <c r="T7" s="38">
        <f>IF(O7="","",LEFT(O7,LEN(O7)-1))</f>
        <v/>
      </c>
      <c r="U7" s="38">
        <f>IF(P7="","",LEFT(P7,LEN(P7)-1))</f>
        <v/>
      </c>
      <c r="V7" s="38">
        <f>IF(Q7="","",LEFT(Q7,LEN(Q7)-1))</f>
        <v/>
      </c>
      <c r="W7" s="38">
        <f>IF(M7="","",IFERROR(VALUE(RIGHT(M7,1)),""))</f>
        <v/>
      </c>
      <c r="X7" s="38">
        <f>IF(N7="","",IFERROR(VALUE(RIGHT(N7,1)),""))</f>
        <v/>
      </c>
      <c r="Y7" s="38">
        <f>IF(O7="","",IFERROR(VALUE(RIGHT(O7,1)),""))</f>
        <v/>
      </c>
      <c r="Z7" s="38">
        <f>IF(P7="","",IFERROR(VALUE(RIGHT(P7,1)),""))</f>
        <v/>
      </c>
      <c r="AA7" s="38">
        <f>IF(Q7="","",IFERROR(VALUE(RIGHT(Q7,1)),""))</f>
        <v/>
      </c>
      <c r="AB7" s="38">
        <f>IF(OR(M7="",W7=""),"",IFERROR(ROUND(440*2^((12*(W7+1)+IFERROR(MATCH(R7,{"C","C#","D","D#","E","F","F#","G","G#","A","A#","B"},0)-1,MATCH(R7,{"C","Db","D","Eb","E","F","Gb","G","Ab","A","Bb","B"},0)-1)-69)/12),2),""))</f>
        <v/>
      </c>
      <c r="AC7" s="38">
        <f>IF(OR(N7="",X7=""),"",IFERROR(ROUND(440*2^((12*(X7+1)+IFERROR(MATCH(S7,{"C","C#","D","D#","E","F","F#","G","G#","A","A#","B"},0)-1,MATCH(S7,{"C","Db","D","Eb","E","F","Gb","G","Ab","A","Bb","B"},0)-1)-69)/12),2),""))</f>
        <v/>
      </c>
      <c r="AD7" s="38">
        <f>IF(OR(O7="",Y7=""),"",IFERROR(ROUND(440*2^((12*(Y7+1)+IFERROR(MATCH(T7,{"C","C#","D","D#","E","F","F#","G","G#","A","A#","B"},0)-1,MATCH(T7,{"C","Db","D","Eb","E","F","Gb","G","Ab","A","Bb","B"},0)-1)-69)/12),2),""))</f>
        <v/>
      </c>
      <c r="AE7" s="38">
        <f>IF(OR(P7="",Z7=""),"",IFERROR(ROUND(440*2^((12*(Z7+1)+IFERROR(MATCH(U7,{"C","C#","D","D#","E","F","F#","G","G#","A","A#","B"},0)-1,MATCH(U7,{"C","Db","D","Eb","E","F","Gb","G","Ab","A","Bb","B"},0)-1)-69)/12),2),""))</f>
        <v/>
      </c>
      <c r="AF7" s="38">
        <f>IF(OR(Q7="",AA7=""),"",IFERROR(ROUND(440*2^((12*(AA7+1)+IFERROR(MATCH(V7,{"C","C#","D","D#","E","F","F#","G","G#","A","A#","B"},0)-1,MATCH(V7,{"C","Db","D","Eb","E","F","Gb","G","Ab","A","Bb","B"},0)-1)-69)/12),2),""))</f>
        <v/>
      </c>
      <c r="AG7" s="36" t="n"/>
      <c r="AH7" s="36" t="n"/>
      <c r="AI7" s="36" t="n"/>
      <c r="AJ7" s="36" t="inlineStr">
        <is>
          <t>Low</t>
        </is>
      </c>
      <c r="AK7" s="36" t="inlineStr">
        <is>
          <t>Low</t>
        </is>
      </c>
      <c r="AL7" s="35" t="n"/>
    </row>
    <row r="8">
      <c r="A8" s="35" t="inlineStr">
        <is>
          <t>TEST_001</t>
        </is>
      </c>
      <c r="B8" s="35" t="n">
        <v>7</v>
      </c>
      <c r="C8" s="36" t="n"/>
      <c r="D8" s="36" t="n"/>
      <c r="E8" s="37" t="n">
        <v>0.0125</v>
      </c>
      <c r="F8" s="36" t="n">
        <v>9.380000000000001</v>
      </c>
      <c r="G8" s="36" t="n">
        <v>10.03</v>
      </c>
      <c r="H8" s="36" t="n"/>
      <c r="I8" s="36" t="n"/>
      <c r="J8" s="36" t="n"/>
      <c r="K8" s="36" t="n">
        <v>9.83</v>
      </c>
      <c r="L8" s="36" t="n">
        <v>10.31</v>
      </c>
      <c r="M8" s="36" t="n"/>
      <c r="N8" s="36" t="n"/>
      <c r="O8" s="36" t="inlineStr">
        <is>
          <t>D</t>
        </is>
      </c>
      <c r="P8" s="36" t="inlineStr">
        <is>
          <t>B3</t>
        </is>
      </c>
      <c r="Q8" s="36" t="inlineStr">
        <is>
          <t>G#3</t>
        </is>
      </c>
      <c r="R8" s="38">
        <f>IF(M8="","",LEFT(M8,LEN(M8)-1))</f>
        <v/>
      </c>
      <c r="S8" s="38">
        <f>IF(N8="","",LEFT(N8,LEN(N8)-1))</f>
        <v/>
      </c>
      <c r="T8" s="38">
        <f>IF(O8="","",LEFT(O8,LEN(O8)-1))</f>
        <v/>
      </c>
      <c r="U8" s="38">
        <f>IF(P8="","",LEFT(P8,LEN(P8)-1))</f>
        <v/>
      </c>
      <c r="V8" s="38">
        <f>IF(Q8="","",LEFT(Q8,LEN(Q8)-1))</f>
        <v/>
      </c>
      <c r="W8" s="38">
        <f>IF(M8="","",IFERROR(VALUE(RIGHT(M8,1)),""))</f>
        <v/>
      </c>
      <c r="X8" s="38">
        <f>IF(N8="","",IFERROR(VALUE(RIGHT(N8,1)),""))</f>
        <v/>
      </c>
      <c r="Y8" s="38">
        <f>IF(O8="","",IFERROR(VALUE(RIGHT(O8,1)),""))</f>
        <v/>
      </c>
      <c r="Z8" s="38">
        <f>IF(P8="","",IFERROR(VALUE(RIGHT(P8,1)),""))</f>
        <v/>
      </c>
      <c r="AA8" s="38">
        <f>IF(Q8="","",IFERROR(VALUE(RIGHT(Q8,1)),""))</f>
        <v/>
      </c>
      <c r="AB8" s="38">
        <f>IF(OR(M8="",W8=""),"",IFERROR(ROUND(440*2^((12*(W8+1)+IFERROR(MATCH(R8,{"C","C#","D","D#","E","F","F#","G","G#","A","A#","B"},0)-1,MATCH(R8,{"C","Db","D","Eb","E","F","Gb","G","Ab","A","Bb","B"},0)-1)-69)/12),2),""))</f>
        <v/>
      </c>
      <c r="AC8" s="38">
        <f>IF(OR(N8="",X8=""),"",IFERROR(ROUND(440*2^((12*(X8+1)+IFERROR(MATCH(S8,{"C","C#","D","D#","E","F","F#","G","G#","A","A#","B"},0)-1,MATCH(S8,{"C","Db","D","Eb","E","F","Gb","G","Ab","A","Bb","B"},0)-1)-69)/12),2),""))</f>
        <v/>
      </c>
      <c r="AD8" s="38">
        <f>IF(OR(O8="",Y8=""),"",IFERROR(ROUND(440*2^((12*(Y8+1)+IFERROR(MATCH(T8,{"C","C#","D","D#","E","F","F#","G","G#","A","A#","B"},0)-1,MATCH(T8,{"C","Db","D","Eb","E","F","Gb","G","Ab","A","Bb","B"},0)-1)-69)/12),2),""))</f>
        <v/>
      </c>
      <c r="AE8" s="38">
        <f>IF(OR(P8="",Z8=""),"",IFERROR(ROUND(440*2^((12*(Z8+1)+IFERROR(MATCH(U8,{"C","C#","D","D#","E","F","F#","G","G#","A","A#","B"},0)-1,MATCH(U8,{"C","Db","D","Eb","E","F","Gb","G","Ab","A","Bb","B"},0)-1)-69)/12),2),""))</f>
        <v/>
      </c>
      <c r="AF8" s="38">
        <f>IF(OR(Q8="",AA8=""),"",IFERROR(ROUND(440*2^((12*(AA8+1)+IFERROR(MATCH(V8,{"C","C#","D","D#","E","F","F#","G","G#","A","A#","B"},0)-1,MATCH(V8,{"C","Db","D","Eb","E","F","Gb","G","Ab","A","Bb","B"},0)-1)-69)/12),2),""))</f>
        <v/>
      </c>
      <c r="AG8" s="36" t="n"/>
      <c r="AH8" s="36" t="n"/>
      <c r="AI8" s="36" t="n"/>
      <c r="AJ8" s="36" t="inlineStr">
        <is>
          <t>Low</t>
        </is>
      </c>
      <c r="AK8" s="36" t="inlineStr">
        <is>
          <t>Low</t>
        </is>
      </c>
      <c r="AL8" s="35" t="n"/>
    </row>
    <row r="9">
      <c r="A9" s="35" t="inlineStr">
        <is>
          <t>TEST_001</t>
        </is>
      </c>
      <c r="B9" s="35" t="n">
        <v>8</v>
      </c>
      <c r="C9" s="36" t="n"/>
      <c r="D9" s="36" t="n"/>
      <c r="E9" s="37" t="n">
        <v>0.01388888888888889</v>
      </c>
      <c r="F9" s="36" t="n">
        <v>10.79</v>
      </c>
      <c r="G9" s="36" t="n">
        <v>10.47</v>
      </c>
      <c r="H9" s="36" t="n"/>
      <c r="I9" s="36" t="n"/>
      <c r="J9" s="36" t="n"/>
      <c r="K9" s="36" t="n">
        <v>11.3</v>
      </c>
      <c r="L9" s="36" t="n">
        <v>10.84</v>
      </c>
      <c r="M9" s="36" t="n"/>
      <c r="N9" s="36" t="n"/>
      <c r="O9" s="36" t="inlineStr">
        <is>
          <t>G</t>
        </is>
      </c>
      <c r="P9" s="36" t="inlineStr">
        <is>
          <t>C#4</t>
        </is>
      </c>
      <c r="Q9" s="36" t="inlineStr">
        <is>
          <t>B3</t>
        </is>
      </c>
      <c r="R9" s="38">
        <f>IF(M9="","",LEFT(M9,LEN(M9)-1))</f>
        <v/>
      </c>
      <c r="S9" s="38">
        <f>IF(N9="","",LEFT(N9,LEN(N9)-1))</f>
        <v/>
      </c>
      <c r="T9" s="38">
        <f>IF(O9="","",LEFT(O9,LEN(O9)-1))</f>
        <v/>
      </c>
      <c r="U9" s="38">
        <f>IF(P9="","",LEFT(P9,LEN(P9)-1))</f>
        <v/>
      </c>
      <c r="V9" s="38">
        <f>IF(Q9="","",LEFT(Q9,LEN(Q9)-1))</f>
        <v/>
      </c>
      <c r="W9" s="38">
        <f>IF(M9="","",IFERROR(VALUE(RIGHT(M9,1)),""))</f>
        <v/>
      </c>
      <c r="X9" s="38">
        <f>IF(N9="","",IFERROR(VALUE(RIGHT(N9,1)),""))</f>
        <v/>
      </c>
      <c r="Y9" s="38">
        <f>IF(O9="","",IFERROR(VALUE(RIGHT(O9,1)),""))</f>
        <v/>
      </c>
      <c r="Z9" s="38">
        <f>IF(P9="","",IFERROR(VALUE(RIGHT(P9,1)),""))</f>
        <v/>
      </c>
      <c r="AA9" s="38">
        <f>IF(Q9="","",IFERROR(VALUE(RIGHT(Q9,1)),""))</f>
        <v/>
      </c>
      <c r="AB9" s="38">
        <f>IF(OR(M9="",W9=""),"",IFERROR(ROUND(440*2^((12*(W9+1)+IFERROR(MATCH(R9,{"C","C#","D","D#","E","F","F#","G","G#","A","A#","B"},0)-1,MATCH(R9,{"C","Db","D","Eb","E","F","Gb","G","Ab","A","Bb","B"},0)-1)-69)/12),2),""))</f>
        <v/>
      </c>
      <c r="AC9" s="38">
        <f>IF(OR(N9="",X9=""),"",IFERROR(ROUND(440*2^((12*(X9+1)+IFERROR(MATCH(S9,{"C","C#","D","D#","E","F","F#","G","G#","A","A#","B"},0)-1,MATCH(S9,{"C","Db","D","Eb","E","F","Gb","G","Ab","A","Bb","B"},0)-1)-69)/12),2),""))</f>
        <v/>
      </c>
      <c r="AD9" s="38">
        <f>IF(OR(O9="",Y9=""),"",IFERROR(ROUND(440*2^((12*(Y9+1)+IFERROR(MATCH(T9,{"C","C#","D","D#","E","F","F#","G","G#","A","A#","B"},0)-1,MATCH(T9,{"C","Db","D","Eb","E","F","Gb","G","Ab","A","Bb","B"},0)-1)-69)/12),2),""))</f>
        <v/>
      </c>
      <c r="AE9" s="38">
        <f>IF(OR(P9="",Z9=""),"",IFERROR(ROUND(440*2^((12*(Z9+1)+IFERROR(MATCH(U9,{"C","C#","D","D#","E","F","F#","G","G#","A","A#","B"},0)-1,MATCH(U9,{"C","Db","D","Eb","E","F","Gb","G","Ab","A","Bb","B"},0)-1)-69)/12),2),""))</f>
        <v/>
      </c>
      <c r="AF9" s="38">
        <f>IF(OR(Q9="",AA9=""),"",IFERROR(ROUND(440*2^((12*(AA9+1)+IFERROR(MATCH(V9,{"C","C#","D","D#","E","F","F#","G","G#","A","A#","B"},0)-1,MATCH(V9,{"C","Db","D","Eb","E","F","Gb","G","Ab","A","Bb","B"},0)-1)-69)/12),2),""))</f>
        <v/>
      </c>
      <c r="AG9" s="36" t="n"/>
      <c r="AH9" s="36" t="n"/>
      <c r="AI9" s="36" t="n"/>
      <c r="AJ9" s="36" t="inlineStr">
        <is>
          <t>Low</t>
        </is>
      </c>
      <c r="AK9" s="36" t="inlineStr">
        <is>
          <t>Low</t>
        </is>
      </c>
      <c r="AL9" s="35" t="n"/>
    </row>
    <row r="10">
      <c r="A10" s="35" t="inlineStr">
        <is>
          <t>TEST_001</t>
        </is>
      </c>
      <c r="B10" s="35" t="n">
        <v>9</v>
      </c>
      <c r="C10" s="36" t="n"/>
      <c r="D10" s="36" t="n"/>
      <c r="E10" s="37" t="n">
        <v>0.01666666666666667</v>
      </c>
      <c r="F10" s="36" t="n">
        <v>11.75</v>
      </c>
      <c r="G10" s="36" t="n">
        <v>10.96</v>
      </c>
      <c r="H10" s="36" t="n"/>
      <c r="I10" s="36" t="n"/>
      <c r="J10" s="36" t="n"/>
      <c r="K10" s="36" t="n">
        <v>11.95</v>
      </c>
      <c r="L10" s="36" t="n">
        <v>11.28</v>
      </c>
      <c r="M10" s="36" t="n"/>
      <c r="N10" s="36" t="n"/>
      <c r="O10" s="36" t="inlineStr">
        <is>
          <t>C</t>
        </is>
      </c>
      <c r="P10" s="36" t="inlineStr">
        <is>
          <t>C#4</t>
        </is>
      </c>
      <c r="Q10" s="36" t="inlineStr">
        <is>
          <t>F#2</t>
        </is>
      </c>
      <c r="R10" s="38">
        <f>IF(M10="","",LEFT(M10,LEN(M10)-1))</f>
        <v/>
      </c>
      <c r="S10" s="38">
        <f>IF(N10="","",LEFT(N10,LEN(N10)-1))</f>
        <v/>
      </c>
      <c r="T10" s="38">
        <f>IF(O10="","",LEFT(O10,LEN(O10)-1))</f>
        <v/>
      </c>
      <c r="U10" s="38">
        <f>IF(P10="","",LEFT(P10,LEN(P10)-1))</f>
        <v/>
      </c>
      <c r="V10" s="38">
        <f>IF(Q10="","",LEFT(Q10,LEN(Q10)-1))</f>
        <v/>
      </c>
      <c r="W10" s="38">
        <f>IF(M10="","",IFERROR(VALUE(RIGHT(M10,1)),""))</f>
        <v/>
      </c>
      <c r="X10" s="38">
        <f>IF(N10="","",IFERROR(VALUE(RIGHT(N10,1)),""))</f>
        <v/>
      </c>
      <c r="Y10" s="38">
        <f>IF(O10="","",IFERROR(VALUE(RIGHT(O10,1)),""))</f>
        <v/>
      </c>
      <c r="Z10" s="38">
        <f>IF(P10="","",IFERROR(VALUE(RIGHT(P10,1)),""))</f>
        <v/>
      </c>
      <c r="AA10" s="38">
        <f>IF(Q10="","",IFERROR(VALUE(RIGHT(Q10,1)),""))</f>
        <v/>
      </c>
      <c r="AB10" s="38">
        <f>IF(OR(M10="",W10=""),"",IFERROR(ROUND(440*2^((12*(W10+1)+IFERROR(MATCH(R10,{"C","C#","D","D#","E","F","F#","G","G#","A","A#","B"},0)-1,MATCH(R10,{"C","Db","D","Eb","E","F","Gb","G","Ab","A","Bb","B"},0)-1)-69)/12),2),""))</f>
        <v/>
      </c>
      <c r="AC10" s="38">
        <f>IF(OR(N10="",X10=""),"",IFERROR(ROUND(440*2^((12*(X10+1)+IFERROR(MATCH(S10,{"C","C#","D","D#","E","F","F#","G","G#","A","A#","B"},0)-1,MATCH(S10,{"C","Db","D","Eb","E","F","Gb","G","Ab","A","Bb","B"},0)-1)-69)/12),2),""))</f>
        <v/>
      </c>
      <c r="AD10" s="38">
        <f>IF(OR(O10="",Y10=""),"",IFERROR(ROUND(440*2^((12*(Y10+1)+IFERROR(MATCH(T10,{"C","C#","D","D#","E","F","F#","G","G#","A","A#","B"},0)-1,MATCH(T10,{"C","Db","D","Eb","E","F","Gb","G","Ab","A","Bb","B"},0)-1)-69)/12),2),""))</f>
        <v/>
      </c>
      <c r="AE10" s="38">
        <f>IF(OR(P10="",Z10=""),"",IFERROR(ROUND(440*2^((12*(Z10+1)+IFERROR(MATCH(U10,{"C","C#","D","D#","E","F","F#","G","G#","A","A#","B"},0)-1,MATCH(U10,{"C","Db","D","Eb","E","F","Gb","G","Ab","A","Bb","B"},0)-1)-69)/12),2),""))</f>
        <v/>
      </c>
      <c r="AF10" s="38">
        <f>IF(OR(Q10="",AA10=""),"",IFERROR(ROUND(440*2^((12*(AA10+1)+IFERROR(MATCH(V10,{"C","C#","D","D#","E","F","F#","G","G#","A","A#","B"},0)-1,MATCH(V10,{"C","Db","D","Eb","E","F","Gb","G","Ab","A","Bb","B"},0)-1)-69)/12),2),""))</f>
        <v/>
      </c>
      <c r="AG10" s="36" t="n"/>
      <c r="AH10" s="36" t="n"/>
      <c r="AI10" s="36" t="n"/>
      <c r="AJ10" s="36" t="inlineStr">
        <is>
          <t>Low</t>
        </is>
      </c>
      <c r="AK10" s="36" t="inlineStr">
        <is>
          <t>Low</t>
        </is>
      </c>
      <c r="AL10" s="35" t="n"/>
    </row>
    <row r="11">
      <c r="A11" s="35" t="inlineStr">
        <is>
          <t>TEST_001</t>
        </is>
      </c>
      <c r="B11" s="35" t="n">
        <v>10</v>
      </c>
      <c r="C11" s="36" t="n"/>
      <c r="D11" s="36" t="n"/>
      <c r="E11" s="37" t="n">
        <v>0.01805555555555555</v>
      </c>
      <c r="F11" s="36" t="n">
        <v>11.95</v>
      </c>
      <c r="G11" s="36" t="n">
        <v>12.71</v>
      </c>
      <c r="H11" s="36" t="n"/>
      <c r="I11" s="36" t="n"/>
      <c r="J11" s="36" t="n"/>
      <c r="K11" s="36" t="n">
        <v>12.25</v>
      </c>
      <c r="L11" s="36" t="n">
        <v>12.93</v>
      </c>
      <c r="M11" s="36" t="n"/>
      <c r="N11" s="36" t="n"/>
      <c r="O11" s="36" t="inlineStr">
        <is>
          <t>D</t>
        </is>
      </c>
      <c r="P11" s="36" t="inlineStr">
        <is>
          <t>C#4</t>
        </is>
      </c>
      <c r="Q11" s="36" t="inlineStr">
        <is>
          <t>F#2</t>
        </is>
      </c>
      <c r="R11" s="38" t="n"/>
      <c r="S11" s="38" t="n"/>
      <c r="T11" s="38">
        <f>IF(O11="","",LEFT(O11,LEN(O11)-1))</f>
        <v/>
      </c>
      <c r="U11" s="38" t="n"/>
      <c r="V11" s="38" t="n"/>
      <c r="W11" s="38" t="n"/>
      <c r="X11" s="38" t="n"/>
      <c r="Y11" s="38">
        <f>IF(O11="","",IFERROR(VALUE(RIGHT(O11,1)),""))</f>
        <v/>
      </c>
      <c r="Z11" s="38" t="n"/>
      <c r="AA11" s="38" t="n"/>
      <c r="AB11" s="38" t="n"/>
      <c r="AC11" s="38" t="n"/>
      <c r="AD11" s="38" t="n"/>
      <c r="AE11" s="38" t="n"/>
      <c r="AF11" s="38" t="n"/>
      <c r="AG11" s="36" t="n"/>
      <c r="AH11" s="36" t="n"/>
      <c r="AI11" s="36" t="n"/>
      <c r="AJ11" s="36" t="inlineStr">
        <is>
          <t>Low</t>
        </is>
      </c>
      <c r="AK11" s="36" t="inlineStr">
        <is>
          <t>Low</t>
        </is>
      </c>
      <c r="AL11" s="35" t="n"/>
    </row>
    <row r="12">
      <c r="A12" s="35" t="inlineStr">
        <is>
          <t>TEST_001</t>
        </is>
      </c>
      <c r="B12" s="35" t="n">
        <v>11</v>
      </c>
      <c r="C12" s="36" t="n"/>
      <c r="D12" s="36" t="n"/>
      <c r="E12" s="37" t="n">
        <v>0.01944444444444444</v>
      </c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inlineStr">
        <is>
          <t>G</t>
        </is>
      </c>
      <c r="P12" s="36" t="n"/>
      <c r="Q12" s="36" t="n"/>
      <c r="R12" s="38">
        <f>IF(M12="","",LEFT(M12,LEN(M12)-1))</f>
        <v/>
      </c>
      <c r="S12" s="38">
        <f>IF(N12="","",LEFT(N12,LEN(N12)-1))</f>
        <v/>
      </c>
      <c r="T12" s="38">
        <f>IF(O12="","",LEFT(O12,LEN(O12)-1))</f>
        <v/>
      </c>
      <c r="U12" s="38">
        <f>IF(P12="","",LEFT(P12,LEN(P12)-1))</f>
        <v/>
      </c>
      <c r="V12" s="38">
        <f>IF(Q12="","",LEFT(Q12,LEN(Q12)-1))</f>
        <v/>
      </c>
      <c r="W12" s="38">
        <f>IF(M12="","",IFERROR(VALUE(RIGHT(M12,1)),""))</f>
        <v/>
      </c>
      <c r="X12" s="38">
        <f>IF(N12="","",IFERROR(VALUE(RIGHT(N12,1)),""))</f>
        <v/>
      </c>
      <c r="Y12" s="38">
        <f>IF(O12="","",IFERROR(VALUE(RIGHT(O12,1)),""))</f>
        <v/>
      </c>
      <c r="Z12" s="38">
        <f>IF(P12="","",IFERROR(VALUE(RIGHT(P12,1)),""))</f>
        <v/>
      </c>
      <c r="AA12" s="38">
        <f>IF(Q12="","",IFERROR(VALUE(RIGHT(Q12,1)),""))</f>
        <v/>
      </c>
      <c r="AB12" s="38">
        <f>IF(OR(M12="",W12=""),"",IFERROR(ROUND(440*2^((12*(W12+1)+IFERROR(MATCH(R12,{"C","C#","D","D#","E","F","F#","G","G#","A","A#","B"},0)-1,MATCH(R12,{"C","Db","D","Eb","E","F","Gb","G","Ab","A","Bb","B"},0)-1)-69)/12),2),""))</f>
        <v/>
      </c>
      <c r="AC12" s="38">
        <f>IF(OR(N12="",X12=""),"",IFERROR(ROUND(440*2^((12*(X12+1)+IFERROR(MATCH(S12,{"C","C#","D","D#","E","F","F#","G","G#","A","A#","B"},0)-1,MATCH(S12,{"C","Db","D","Eb","E","F","Gb","G","Ab","A","Bb","B"},0)-1)-69)/12),2),""))</f>
        <v/>
      </c>
      <c r="AD12" s="38">
        <f>IF(OR(O12="",Y12=""),"",IFERROR(ROUND(440*2^((12*(Y12+1)+IFERROR(MATCH(T12,{"C","C#","D","D#","E","F","F#","G","G#","A","A#","B"},0)-1,MATCH(T12,{"C","Db","D","Eb","E","F","Gb","G","Ab","A","Bb","B"},0)-1)-69)/12),2),""))</f>
        <v/>
      </c>
      <c r="AE12" s="38">
        <f>IF(OR(P12="",Z12=""),"",IFERROR(ROUND(440*2^((12*(Z12+1)+IFERROR(MATCH(U12,{"C","C#","D","D#","E","F","F#","G","G#","A","A#","B"},0)-1,MATCH(U12,{"C","Db","D","Eb","E","F","Gb","G","Ab","A","Bb","B"},0)-1)-69)/12),2),""))</f>
        <v/>
      </c>
      <c r="AF12" s="38">
        <f>IF(OR(Q12="",AA12=""),"",IFERROR(ROUND(440*2^((12*(AA12+1)+IFERROR(MATCH(V12,{"C","C#","D","D#","E","F","F#","G","G#","A","A#","B"},0)-1,MATCH(V12,{"C","Db","D","Eb","E","F","Gb","G","Ab","A","Bb","B"},0)-1)-69)/12),2),""))</f>
        <v/>
      </c>
      <c r="AG12" s="36" t="n"/>
      <c r="AH12" s="36" t="n"/>
      <c r="AI12" s="36" t="n"/>
      <c r="AJ12" s="36" t="n"/>
      <c r="AK12" s="36" t="n"/>
      <c r="AL12" s="35" t="n"/>
    </row>
    <row r="13">
      <c r="A13" s="35" t="inlineStr">
        <is>
          <t>TEST_002</t>
        </is>
      </c>
      <c r="B13" s="35" t="n">
        <v>1</v>
      </c>
      <c r="C13" s="36" t="n"/>
      <c r="D13" s="36" t="n"/>
      <c r="E13" s="37" t="n">
        <v>0.0006944444444444445</v>
      </c>
      <c r="F13" s="36" t="n">
        <v>1.24</v>
      </c>
      <c r="G13" s="36" t="n">
        <v>1.88</v>
      </c>
      <c r="H13" s="36" t="n"/>
      <c r="I13" s="36" t="n"/>
      <c r="J13" s="36" t="n"/>
      <c r="K13" s="36" t="n">
        <v>1.46</v>
      </c>
      <c r="L13" s="36" t="n">
        <v>2.88</v>
      </c>
      <c r="M13" s="36" t="n"/>
      <c r="N13" s="36" t="inlineStr">
        <is>
          <t>N/A</t>
        </is>
      </c>
      <c r="O13" s="36" t="inlineStr">
        <is>
          <t>N/A</t>
        </is>
      </c>
      <c r="P13" s="36" t="inlineStr">
        <is>
          <t>D3</t>
        </is>
      </c>
      <c r="Q13" s="36" t="inlineStr">
        <is>
          <t>D#2</t>
        </is>
      </c>
      <c r="R13" s="38">
        <f>IF(M13="","",LEFT(M13,LEN(M13)-1))</f>
        <v/>
      </c>
      <c r="S13" s="38">
        <f>IF(N13="","",LEFT(N13,LEN(N13)-1))</f>
        <v/>
      </c>
      <c r="T13" s="38">
        <f>IF(O13="","",LEFT(O13,LEN(O13)-1))</f>
        <v/>
      </c>
      <c r="U13" s="38">
        <f>IF(P13="","",LEFT(P13,LEN(P13)-1))</f>
        <v/>
      </c>
      <c r="V13" s="38">
        <f>IF(Q13="","",LEFT(Q13,LEN(Q13)-1))</f>
        <v/>
      </c>
      <c r="W13" s="38">
        <f>IF(M13="","",IFERROR(VALUE(RIGHT(M13,1)),""))</f>
        <v/>
      </c>
      <c r="X13" s="38">
        <f>IF(N13="","",IFERROR(VALUE(RIGHT(N13,1)),""))</f>
        <v/>
      </c>
      <c r="Y13" s="38">
        <f>IF(O13="","",IFERROR(VALUE(RIGHT(O13,1)),""))</f>
        <v/>
      </c>
      <c r="Z13" s="38">
        <f>IF(P13="","",IFERROR(VALUE(RIGHT(P13,1)),""))</f>
        <v/>
      </c>
      <c r="AA13" s="38">
        <f>IF(Q13="","",IFERROR(VALUE(RIGHT(Q13,1)),""))</f>
        <v/>
      </c>
      <c r="AB13" s="38">
        <f>IF(OR(M13="",W13=""),"",IFERROR(ROUND(440*2^((12*(W13+1)+IFERROR(MATCH(R13,{"C","C#","D","D#","E","F","F#","G","G#","A","A#","B"},0)-1,MATCH(R13,{"C","Db","D","Eb","E","F","Gb","G","Ab","A","Bb","B"},0)-1)-69)/12),2),""))</f>
        <v/>
      </c>
      <c r="AC13" s="38">
        <f>IF(OR(N13="",X13=""),"",IFERROR(ROUND(440*2^((12*(X13+1)+IFERROR(MATCH(S13,{"C","C#","D","D#","E","F","F#","G","G#","A","A#","B"},0)-1,MATCH(S13,{"C","Db","D","Eb","E","F","Gb","G","Ab","A","Bb","B"},0)-1)-69)/12),2),""))</f>
        <v/>
      </c>
      <c r="AD13" s="38">
        <f>IF(OR(O13="",Y13=""),"",IFERROR(ROUND(440*2^((12*(Y13+1)+IFERROR(MATCH(T13,{"C","C#","D","D#","E","F","F#","G","G#","A","A#","B"},0)-1,MATCH(T13,{"C","Db","D","Eb","E","F","Gb","G","Ab","A","Bb","B"},0)-1)-69)/12),2),""))</f>
        <v/>
      </c>
      <c r="AE13" s="38">
        <f>IF(OR(P13="",Z13=""),"",IFERROR(ROUND(440*2^((12*(Z13+1)+IFERROR(MATCH(U13,{"C","C#","D","D#","E","F","F#","G","G#","A","A#","B"},0)-1,MATCH(U13,{"C","Db","D","Eb","E","F","Gb","G","Ab","A","Bb","B"},0)-1)-69)/12),2),""))</f>
        <v/>
      </c>
      <c r="AF13" s="38">
        <f>IF(OR(Q13="",AA13=""),"",IFERROR(ROUND(440*2^((12*(AA13+1)+IFERROR(MATCH(V13,{"C","C#","D","D#","E","F","F#","G","G#","A","A#","B"},0)-1,MATCH(V13,{"C","Db","D","Eb","E","F","Gb","G","Ab","A","Bb","B"},0)-1)-69)/12),2),""))</f>
        <v/>
      </c>
      <c r="AG13" s="36" t="n"/>
      <c r="AH13" s="36" t="n"/>
      <c r="AI13" s="36" t="n"/>
      <c r="AJ13" s="36" t="inlineStr">
        <is>
          <t>Low</t>
        </is>
      </c>
      <c r="AK13" s="36" t="inlineStr">
        <is>
          <t>Low</t>
        </is>
      </c>
      <c r="AL1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4">
      <c r="A14" s="35" t="inlineStr">
        <is>
          <t>TEST_002</t>
        </is>
      </c>
      <c r="B14" s="35" t="n">
        <v>2</v>
      </c>
      <c r="C14" s="36" t="n"/>
      <c r="D14" s="36" t="n"/>
      <c r="E14" s="37" t="n">
        <v>0.002777777777777778</v>
      </c>
      <c r="F14" s="36" t="n">
        <v>2.25</v>
      </c>
      <c r="G14" s="36" t="n">
        <v>2.88</v>
      </c>
      <c r="H14" s="36" t="n"/>
      <c r="I14" s="36" t="n"/>
      <c r="J14" s="36" t="n"/>
      <c r="K14" s="36" t="n">
        <v>2.89</v>
      </c>
      <c r="L14" s="36" t="n">
        <v>3.1</v>
      </c>
      <c r="M14" s="36" t="n"/>
      <c r="N14" s="36" t="n"/>
      <c r="O14" s="36" t="inlineStr">
        <is>
          <t>G</t>
        </is>
      </c>
      <c r="P14" s="36" t="inlineStr">
        <is>
          <t>D3</t>
        </is>
      </c>
      <c r="Q14" s="36" t="inlineStr">
        <is>
          <t>E2</t>
        </is>
      </c>
      <c r="R14" s="38">
        <f>IF(M14="","",LEFT(M14,LEN(M14)-1))</f>
        <v/>
      </c>
      <c r="S14" s="38">
        <f>IF(N14="","",LEFT(N14,LEN(N14)-1))</f>
        <v/>
      </c>
      <c r="T14" s="38">
        <f>IF(O14="","",LEFT(O14,LEN(O14)-1))</f>
        <v/>
      </c>
      <c r="U14" s="38">
        <f>IF(P14="","",LEFT(P14,LEN(P14)-1))</f>
        <v/>
      </c>
      <c r="V14" s="38">
        <f>IF(Q14="","",LEFT(Q14,LEN(Q14)-1))</f>
        <v/>
      </c>
      <c r="W14" s="38">
        <f>IF(M14="","",IFERROR(VALUE(RIGHT(M14,1)),""))</f>
        <v/>
      </c>
      <c r="X14" s="38">
        <f>IF(N14="","",IFERROR(VALUE(RIGHT(N14,1)),""))</f>
        <v/>
      </c>
      <c r="Y14" s="38">
        <f>IF(O14="","",IFERROR(VALUE(RIGHT(O14,1)),""))</f>
        <v/>
      </c>
      <c r="Z14" s="38">
        <f>IF(P14="","",IFERROR(VALUE(RIGHT(P14,1)),""))</f>
        <v/>
      </c>
      <c r="AA14" s="38">
        <f>IF(Q14="","",IFERROR(VALUE(RIGHT(Q14,1)),""))</f>
        <v/>
      </c>
      <c r="AB14" s="38">
        <f>IF(OR(M14="",W14=""),"",IFERROR(ROUND(440*2^((12*(W14+1)+IFERROR(MATCH(R14,{"C","C#","D","D#","E","F","F#","G","G#","A","A#","B"},0)-1,MATCH(R14,{"C","Db","D","Eb","E","F","Gb","G","Ab","A","Bb","B"},0)-1)-69)/12),2),""))</f>
        <v/>
      </c>
      <c r="AC14" s="38">
        <f>IF(OR(N14="",X14=""),"",IFERROR(ROUND(440*2^((12*(X14+1)+IFERROR(MATCH(S14,{"C","C#","D","D#","E","F","F#","G","G#","A","A#","B"},0)-1,MATCH(S14,{"C","Db","D","Eb","E","F","Gb","G","Ab","A","Bb","B"},0)-1)-69)/12),2),""))</f>
        <v/>
      </c>
      <c r="AD14" s="38">
        <f>IF(OR(O14="",Y14=""),"",IFERROR(ROUND(440*2^((12*(Y14+1)+IFERROR(MATCH(T14,{"C","C#","D","D#","E","F","F#","G","G#","A","A#","B"},0)-1,MATCH(T14,{"C","Db","D","Eb","E","F","Gb","G","Ab","A","Bb","B"},0)-1)-69)/12),2),""))</f>
        <v/>
      </c>
      <c r="AE14" s="38">
        <f>IF(OR(P14="",Z14=""),"",IFERROR(ROUND(440*2^((12*(Z14+1)+IFERROR(MATCH(U14,{"C","C#","D","D#","E","F","F#","G","G#","A","A#","B"},0)-1,MATCH(U14,{"C","Db","D","Eb","E","F","Gb","G","Ab","A","Bb","B"},0)-1)-69)/12),2),""))</f>
        <v/>
      </c>
      <c r="AF14" s="38">
        <f>IF(OR(Q14="",AA14=""),"",IFERROR(ROUND(440*2^((12*(AA14+1)+IFERROR(MATCH(V14,{"C","C#","D","D#","E","F","F#","G","G#","A","A#","B"},0)-1,MATCH(V14,{"C","Db","D","Eb","E","F","Gb","G","Ab","A","Bb","B"},0)-1)-69)/12),2),""))</f>
        <v/>
      </c>
      <c r="AG14" s="36" t="n"/>
      <c r="AH14" s="36" t="n"/>
      <c r="AI14" s="36" t="n"/>
      <c r="AJ14" s="36" t="inlineStr">
        <is>
          <t>Low</t>
        </is>
      </c>
      <c r="AK14" s="36" t="inlineStr">
        <is>
          <t>Low</t>
        </is>
      </c>
      <c r="AL14" s="35" t="n"/>
    </row>
    <row r="15">
      <c r="A15" s="35" t="inlineStr">
        <is>
          <t>TEST_002</t>
        </is>
      </c>
      <c r="B15" s="35" t="n">
        <v>3</v>
      </c>
      <c r="C15" s="36" t="n"/>
      <c r="D15" s="36" t="n"/>
      <c r="E15" s="37" t="n">
        <v>0.004166666666666667</v>
      </c>
      <c r="F15" s="36" t="n">
        <v>2.9</v>
      </c>
      <c r="G15" s="36" t="n">
        <v>3.47</v>
      </c>
      <c r="H15" s="36" t="n"/>
      <c r="I15" s="36" t="n"/>
      <c r="J15" s="36" t="n"/>
      <c r="K15" s="36" t="n">
        <v>3.15</v>
      </c>
      <c r="L15" s="36" t="n">
        <v>3.83</v>
      </c>
      <c r="M15" s="36" t="n"/>
      <c r="N15" s="36" t="n"/>
      <c r="O15" s="36" t="inlineStr">
        <is>
          <t>A</t>
        </is>
      </c>
      <c r="P15" s="36" t="inlineStr">
        <is>
          <t>G#4</t>
        </is>
      </c>
      <c r="Q15" s="36" t="inlineStr">
        <is>
          <t>B2</t>
        </is>
      </c>
      <c r="R15" s="38">
        <f>IF(M15="","",LEFT(M15,LEN(M15)-1))</f>
        <v/>
      </c>
      <c r="S15" s="38">
        <f>IF(N15="","",LEFT(N15,LEN(N15)-1))</f>
        <v/>
      </c>
      <c r="T15" s="38">
        <f>IF(O15="","",LEFT(O15,LEN(O15)-1))</f>
        <v/>
      </c>
      <c r="U15" s="38">
        <f>IF(P15="","",LEFT(P15,LEN(P15)-1))</f>
        <v/>
      </c>
      <c r="V15" s="38">
        <f>IF(Q15="","",LEFT(Q15,LEN(Q15)-1))</f>
        <v/>
      </c>
      <c r="W15" s="38">
        <f>IF(M15="","",IFERROR(VALUE(RIGHT(M15,1)),""))</f>
        <v/>
      </c>
      <c r="X15" s="38">
        <f>IF(N15="","",IFERROR(VALUE(RIGHT(N15,1)),""))</f>
        <v/>
      </c>
      <c r="Y15" s="38">
        <f>IF(O15="","",IFERROR(VALUE(RIGHT(O15,1)),""))</f>
        <v/>
      </c>
      <c r="Z15" s="38">
        <f>IF(P15="","",IFERROR(VALUE(RIGHT(P15,1)),""))</f>
        <v/>
      </c>
      <c r="AA15" s="38">
        <f>IF(Q15="","",IFERROR(VALUE(RIGHT(Q15,1)),""))</f>
        <v/>
      </c>
      <c r="AB15" s="38">
        <f>IF(OR(M15="",W15=""),"",IFERROR(ROUND(440*2^((12*(W15+1)+IFERROR(MATCH(R15,{"C","C#","D","D#","E","F","F#","G","G#","A","A#","B"},0)-1,MATCH(R15,{"C","Db","D","Eb","E","F","Gb","G","Ab","A","Bb","B"},0)-1)-69)/12),2),""))</f>
        <v/>
      </c>
      <c r="AC15" s="38">
        <f>IF(OR(N15="",X15=""),"",IFERROR(ROUND(440*2^((12*(X15+1)+IFERROR(MATCH(S15,{"C","C#","D","D#","E","F","F#","G","G#","A","A#","B"},0)-1,MATCH(S15,{"C","Db","D","Eb","E","F","Gb","G","Ab","A","Bb","B"},0)-1)-69)/12),2),""))</f>
        <v/>
      </c>
      <c r="AD15" s="38">
        <f>IF(OR(O15="",Y15=""),"",IFERROR(ROUND(440*2^((12*(Y15+1)+IFERROR(MATCH(T15,{"C","C#","D","D#","E","F","F#","G","G#","A","A#","B"},0)-1,MATCH(T15,{"C","Db","D","Eb","E","F","Gb","G","Ab","A","Bb","B"},0)-1)-69)/12),2),""))</f>
        <v/>
      </c>
      <c r="AE15" s="38">
        <f>IF(OR(P15="",Z15=""),"",IFERROR(ROUND(440*2^((12*(Z15+1)+IFERROR(MATCH(U15,{"C","C#","D","D#","E","F","F#","G","G#","A","A#","B"},0)-1,MATCH(U15,{"C","Db","D","Eb","E","F","Gb","G","Ab","A","Bb","B"},0)-1)-69)/12),2),""))</f>
        <v/>
      </c>
      <c r="AF15" s="38">
        <f>IF(OR(Q15="",AA15=""),"",IFERROR(ROUND(440*2^((12*(AA15+1)+IFERROR(MATCH(V15,{"C","C#","D","D#","E","F","F#","G","G#","A","A#","B"},0)-1,MATCH(V15,{"C","Db","D","Eb","E","F","Gb","G","Ab","A","Bb","B"},0)-1)-69)/12),2),""))</f>
        <v/>
      </c>
      <c r="AG15" s="36" t="n"/>
      <c r="AH15" s="36" t="n"/>
      <c r="AI15" s="36" t="n"/>
      <c r="AJ15" s="36" t="inlineStr">
        <is>
          <t>Low</t>
        </is>
      </c>
      <c r="AK15" s="36" t="inlineStr">
        <is>
          <t>Low</t>
        </is>
      </c>
      <c r="AL15" s="35" t="n"/>
    </row>
    <row r="16">
      <c r="A16" s="35" t="inlineStr">
        <is>
          <t>TEST_002</t>
        </is>
      </c>
      <c r="B16" s="35" t="n">
        <v>4</v>
      </c>
      <c r="C16" s="36" t="n"/>
      <c r="D16" s="36" t="n"/>
      <c r="E16" s="37" t="n">
        <v>0.005555555555555556</v>
      </c>
      <c r="F16" s="36" t="n">
        <v>3.18</v>
      </c>
      <c r="G16" s="36" t="n">
        <v>5.18</v>
      </c>
      <c r="H16" s="36" t="n"/>
      <c r="I16" s="36" t="n"/>
      <c r="J16" s="36" t="n"/>
      <c r="K16" s="36" t="n">
        <v>3.37</v>
      </c>
      <c r="L16" s="36" t="n">
        <v>6.4</v>
      </c>
      <c r="M16" s="36" t="n"/>
      <c r="N16" s="36" t="n"/>
      <c r="O16" s="36" t="inlineStr">
        <is>
          <t>D</t>
        </is>
      </c>
      <c r="P16" s="36" t="inlineStr">
        <is>
          <t>F#4</t>
        </is>
      </c>
      <c r="Q16" s="36" t="inlineStr">
        <is>
          <t>D#2</t>
        </is>
      </c>
      <c r="R16" s="38">
        <f>IF(M16="","",LEFT(M16,LEN(M16)-1))</f>
        <v/>
      </c>
      <c r="S16" s="38">
        <f>IF(N16="","",LEFT(N16,LEN(N16)-1))</f>
        <v/>
      </c>
      <c r="T16" s="38">
        <f>IF(O16="","",LEFT(O16,LEN(O16)-1))</f>
        <v/>
      </c>
      <c r="U16" s="38">
        <f>IF(P16="","",LEFT(P16,LEN(P16)-1))</f>
        <v/>
      </c>
      <c r="V16" s="38">
        <f>IF(Q16="","",LEFT(Q16,LEN(Q16)-1))</f>
        <v/>
      </c>
      <c r="W16" s="38">
        <f>IF(M16="","",IFERROR(VALUE(RIGHT(M16,1)),""))</f>
        <v/>
      </c>
      <c r="X16" s="38">
        <f>IF(N16="","",IFERROR(VALUE(RIGHT(N16,1)),""))</f>
        <v/>
      </c>
      <c r="Y16" s="38">
        <f>IF(O16="","",IFERROR(VALUE(RIGHT(O16,1)),""))</f>
        <v/>
      </c>
      <c r="Z16" s="38">
        <f>IF(P16="","",IFERROR(VALUE(RIGHT(P16,1)),""))</f>
        <v/>
      </c>
      <c r="AA16" s="38">
        <f>IF(Q16="","",IFERROR(VALUE(RIGHT(Q16,1)),""))</f>
        <v/>
      </c>
      <c r="AB16" s="38">
        <f>IF(OR(M16="",W16=""),"",IFERROR(ROUND(440*2^((12*(W16+1)+IFERROR(MATCH(R16,{"C","C#","D","D#","E","F","F#","G","G#","A","A#","B"},0)-1,MATCH(R16,{"C","Db","D","Eb","E","F","Gb","G","Ab","A","Bb","B"},0)-1)-69)/12),2),""))</f>
        <v/>
      </c>
      <c r="AC16" s="38">
        <f>IF(OR(N16="",X16=""),"",IFERROR(ROUND(440*2^((12*(X16+1)+IFERROR(MATCH(S16,{"C","C#","D","D#","E","F","F#","G","G#","A","A#","B"},0)-1,MATCH(S16,{"C","Db","D","Eb","E","F","Gb","G","Ab","A","Bb","B"},0)-1)-69)/12),2),""))</f>
        <v/>
      </c>
      <c r="AD16" s="38">
        <f>IF(OR(O16="",Y16=""),"",IFERROR(ROUND(440*2^((12*(Y16+1)+IFERROR(MATCH(T16,{"C","C#","D","D#","E","F","F#","G","G#","A","A#","B"},0)-1,MATCH(T16,{"C","Db","D","Eb","E","F","Gb","G","Ab","A","Bb","B"},0)-1)-69)/12),2),""))</f>
        <v/>
      </c>
      <c r="AE16" s="38">
        <f>IF(OR(P16="",Z16=""),"",IFERROR(ROUND(440*2^((12*(Z16+1)+IFERROR(MATCH(U16,{"C","C#","D","D#","E","F","F#","G","G#","A","A#","B"},0)-1,MATCH(U16,{"C","Db","D","Eb","E","F","Gb","G","Ab","A","Bb","B"},0)-1)-69)/12),2),""))</f>
        <v/>
      </c>
      <c r="AF16" s="38">
        <f>IF(OR(Q16="",AA16=""),"",IFERROR(ROUND(440*2^((12*(AA16+1)+IFERROR(MATCH(V16,{"C","C#","D","D#","E","F","F#","G","G#","A","A#","B"},0)-1,MATCH(V16,{"C","Db","D","Eb","E","F","Gb","G","Ab","A","Bb","B"},0)-1)-69)/12),2),""))</f>
        <v/>
      </c>
      <c r="AG16" s="36" t="n"/>
      <c r="AH16" s="36" t="n"/>
      <c r="AI16" s="36" t="n"/>
      <c r="AJ16" s="36" t="inlineStr">
        <is>
          <t>Low</t>
        </is>
      </c>
      <c r="AK16" s="36" t="inlineStr">
        <is>
          <t>Low</t>
        </is>
      </c>
      <c r="AL16" s="35" t="n"/>
    </row>
    <row r="17">
      <c r="A17" s="35" t="inlineStr">
        <is>
          <t>TEST_002</t>
        </is>
      </c>
      <c r="B17" s="35" t="n">
        <v>5</v>
      </c>
      <c r="C17" s="36" t="n"/>
      <c r="D17" s="36" t="n"/>
      <c r="E17" s="37" t="n">
        <v>0.00625</v>
      </c>
      <c r="F17" s="36" t="n">
        <v>3.52</v>
      </c>
      <c r="G17" s="36" t="n">
        <v>6.55</v>
      </c>
      <c r="H17" s="36" t="n"/>
      <c r="I17" s="36" t="n"/>
      <c r="J17" s="36" t="n"/>
      <c r="K17" s="36" t="n">
        <v>3.95</v>
      </c>
      <c r="L17" s="36" t="n">
        <v>7.13</v>
      </c>
      <c r="M17" s="36" t="n"/>
      <c r="N17" s="36" t="n"/>
      <c r="O17" s="36" t="inlineStr">
        <is>
          <t>A</t>
        </is>
      </c>
      <c r="P17" s="36" t="inlineStr">
        <is>
          <t>F#4</t>
        </is>
      </c>
      <c r="Q17" s="36" t="inlineStr">
        <is>
          <t>A2</t>
        </is>
      </c>
      <c r="R17" s="38">
        <f>IF(M17="","",LEFT(M17,LEN(M17)-1))</f>
        <v/>
      </c>
      <c r="S17" s="38">
        <f>IF(N17="","",LEFT(N17,LEN(N17)-1))</f>
        <v/>
      </c>
      <c r="T17" s="38">
        <f>IF(O17="","",LEFT(O17,LEN(O17)-1))</f>
        <v/>
      </c>
      <c r="U17" s="38">
        <f>IF(P17="","",LEFT(P17,LEN(P17)-1))</f>
        <v/>
      </c>
      <c r="V17" s="38">
        <f>IF(Q17="","",LEFT(Q17,LEN(Q17)-1))</f>
        <v/>
      </c>
      <c r="W17" s="38">
        <f>IF(M17="","",IFERROR(VALUE(RIGHT(M17,1)),""))</f>
        <v/>
      </c>
      <c r="X17" s="38">
        <f>IF(N17="","",IFERROR(VALUE(RIGHT(N17,1)),""))</f>
        <v/>
      </c>
      <c r="Y17" s="38">
        <f>IF(O17="","",IFERROR(VALUE(RIGHT(O17,1)),""))</f>
        <v/>
      </c>
      <c r="Z17" s="38">
        <f>IF(P17="","",IFERROR(VALUE(RIGHT(P17,1)),""))</f>
        <v/>
      </c>
      <c r="AA17" s="38">
        <f>IF(Q17="","",IFERROR(VALUE(RIGHT(Q17,1)),""))</f>
        <v/>
      </c>
      <c r="AB17" s="38">
        <f>IF(OR(M17="",W17=""),"",IFERROR(ROUND(440*2^((12*(W17+1)+IFERROR(MATCH(R17,{"C","C#","D","D#","E","F","F#","G","G#","A","A#","B"},0)-1,MATCH(R17,{"C","Db","D","Eb","E","F","Gb","G","Ab","A","Bb","B"},0)-1)-69)/12),2),""))</f>
        <v/>
      </c>
      <c r="AC17" s="38">
        <f>IF(OR(N17="",X17=""),"",IFERROR(ROUND(440*2^((12*(X17+1)+IFERROR(MATCH(S17,{"C","C#","D","D#","E","F","F#","G","G#","A","A#","B"},0)-1,MATCH(S17,{"C","Db","D","Eb","E","F","Gb","G","Ab","A","Bb","B"},0)-1)-69)/12),2),""))</f>
        <v/>
      </c>
      <c r="AD17" s="38">
        <f>IF(OR(O17="",Y17=""),"",IFERROR(ROUND(440*2^((12*(Y17+1)+IFERROR(MATCH(T17,{"C","C#","D","D#","E","F","F#","G","G#","A","A#","B"},0)-1,MATCH(T17,{"C","Db","D","Eb","E","F","Gb","G","Ab","A","Bb","B"},0)-1)-69)/12),2),""))</f>
        <v/>
      </c>
      <c r="AE17" s="38">
        <f>IF(OR(P17="",Z17=""),"",IFERROR(ROUND(440*2^((12*(Z17+1)+IFERROR(MATCH(U17,{"C","C#","D","D#","E","F","F#","G","G#","A","A#","B"},0)-1,MATCH(U17,{"C","Db","D","Eb","E","F","Gb","G","Ab","A","Bb","B"},0)-1)-69)/12),2),""))</f>
        <v/>
      </c>
      <c r="AF17" s="38">
        <f>IF(OR(Q17="",AA17=""),"",IFERROR(ROUND(440*2^((12*(AA17+1)+IFERROR(MATCH(V17,{"C","C#","D","D#","E","F","F#","G","G#","A","A#","B"},0)-1,MATCH(V17,{"C","Db","D","Eb","E","F","Gb","G","Ab","A","Bb","B"},0)-1)-69)/12),2),""))</f>
        <v/>
      </c>
      <c r="AG17" s="36" t="n"/>
      <c r="AH17" s="36" t="n"/>
      <c r="AI17" s="36" t="n"/>
      <c r="AJ17" s="36" t="inlineStr">
        <is>
          <t>Low</t>
        </is>
      </c>
      <c r="AK17" s="36" t="inlineStr">
        <is>
          <t>Low</t>
        </is>
      </c>
      <c r="AL17" s="35" t="n"/>
    </row>
    <row r="18">
      <c r="A18" s="35" t="inlineStr">
        <is>
          <t>TEST_002</t>
        </is>
      </c>
      <c r="B18" s="35" t="n">
        <v>6</v>
      </c>
      <c r="C18" s="36" t="n"/>
      <c r="D18" s="36" t="n"/>
      <c r="E18" s="37" t="n">
        <v>0.006944444444444444</v>
      </c>
      <c r="F18" s="36" t="n">
        <v>4.53</v>
      </c>
      <c r="G18" s="36" t="n">
        <v>7.95</v>
      </c>
      <c r="H18" s="36" t="n"/>
      <c r="I18" s="36" t="n"/>
      <c r="J18" s="36" t="n"/>
      <c r="K18" s="36" t="n">
        <v>4.75</v>
      </c>
      <c r="L18" s="36" t="n">
        <v>8.130000000000001</v>
      </c>
      <c r="M18" s="36" t="n"/>
      <c r="N18" s="36" t="n"/>
      <c r="O18" s="36" t="inlineStr">
        <is>
          <t>D</t>
        </is>
      </c>
      <c r="P18" s="36" t="inlineStr">
        <is>
          <t>G3</t>
        </is>
      </c>
      <c r="Q18" s="36" t="inlineStr">
        <is>
          <t>F#2</t>
        </is>
      </c>
      <c r="R18" s="38">
        <f>IF(M18="","",LEFT(M18,LEN(M18)-1))</f>
        <v/>
      </c>
      <c r="S18" s="38">
        <f>IF(N18="","",LEFT(N18,LEN(N18)-1))</f>
        <v/>
      </c>
      <c r="T18" s="38">
        <f>IF(O18="","",LEFT(O18,LEN(O18)-1))</f>
        <v/>
      </c>
      <c r="U18" s="38">
        <f>IF(P18="","",LEFT(P18,LEN(P18)-1))</f>
        <v/>
      </c>
      <c r="V18" s="38">
        <f>IF(Q18="","",LEFT(Q18,LEN(Q18)-1))</f>
        <v/>
      </c>
      <c r="W18" s="38">
        <f>IF(M18="","",IFERROR(VALUE(RIGHT(M18,1)),""))</f>
        <v/>
      </c>
      <c r="X18" s="38">
        <f>IF(N18="","",IFERROR(VALUE(RIGHT(N18,1)),""))</f>
        <v/>
      </c>
      <c r="Y18" s="38">
        <f>IF(O18="","",IFERROR(VALUE(RIGHT(O18,1)),""))</f>
        <v/>
      </c>
      <c r="Z18" s="38">
        <f>IF(P18="","",IFERROR(VALUE(RIGHT(P18,1)),""))</f>
        <v/>
      </c>
      <c r="AA18" s="38">
        <f>IF(Q18="","",IFERROR(VALUE(RIGHT(Q18,1)),""))</f>
        <v/>
      </c>
      <c r="AB18" s="38">
        <f>IF(OR(M18="",W18=""),"",IFERROR(ROUND(440*2^((12*(W18+1)+IFERROR(MATCH(R18,{"C","C#","D","D#","E","F","F#","G","G#","A","A#","B"},0)-1,MATCH(R18,{"C","Db","D","Eb","E","F","Gb","G","Ab","A","Bb","B"},0)-1)-69)/12),2),""))</f>
        <v/>
      </c>
      <c r="AC18" s="38">
        <f>IF(OR(N18="",X18=""),"",IFERROR(ROUND(440*2^((12*(X18+1)+IFERROR(MATCH(S18,{"C","C#","D","D#","E","F","F#","G","G#","A","A#","B"},0)-1,MATCH(S18,{"C","Db","D","Eb","E","F","Gb","G","Ab","A","Bb","B"},0)-1)-69)/12),2),""))</f>
        <v/>
      </c>
      <c r="AD18" s="38">
        <f>IF(OR(O18="",Y18=""),"",IFERROR(ROUND(440*2^((12*(Y18+1)+IFERROR(MATCH(T18,{"C","C#","D","D#","E","F","F#","G","G#","A","A#","B"},0)-1,MATCH(T18,{"C","Db","D","Eb","E","F","Gb","G","Ab","A","Bb","B"},0)-1)-69)/12),2),""))</f>
        <v/>
      </c>
      <c r="AE18" s="38">
        <f>IF(OR(P18="",Z18=""),"",IFERROR(ROUND(440*2^((12*(Z18+1)+IFERROR(MATCH(U18,{"C","C#","D","D#","E","F","F#","G","G#","A","A#","B"},0)-1,MATCH(U18,{"C","Db","D","Eb","E","F","Gb","G","Ab","A","Bb","B"},0)-1)-69)/12),2),""))</f>
        <v/>
      </c>
      <c r="AF18" s="38">
        <f>IF(OR(Q18="",AA18=""),"",IFERROR(ROUND(440*2^((12*(AA18+1)+IFERROR(MATCH(V18,{"C","C#","D","D#","E","F","F#","G","G#","A","A#","B"},0)-1,MATCH(V18,{"C","Db","D","Eb","E","F","Gb","G","Ab","A","Bb","B"},0)-1)-69)/12),2),""))</f>
        <v/>
      </c>
      <c r="AG18" s="36" t="n"/>
      <c r="AH18" s="36" t="n"/>
      <c r="AI18" s="36" t="n"/>
      <c r="AJ18" s="36" t="inlineStr">
        <is>
          <t>Low</t>
        </is>
      </c>
      <c r="AK18" s="36" t="inlineStr">
        <is>
          <t>Low</t>
        </is>
      </c>
      <c r="AL18" s="35" t="n"/>
    </row>
    <row r="19">
      <c r="A19" s="35" t="inlineStr">
        <is>
          <t>TEST_002</t>
        </is>
      </c>
      <c r="B19" s="35" t="n">
        <v>7</v>
      </c>
      <c r="C19" s="36" t="n"/>
      <c r="D19" s="36" t="n"/>
      <c r="E19" s="37" t="n">
        <v>0.007638888888888889</v>
      </c>
      <c r="F19" s="36" t="n">
        <v>8.15</v>
      </c>
      <c r="G19" s="36" t="n">
        <v>8.16</v>
      </c>
      <c r="H19" s="36" t="n"/>
      <c r="I19" s="36" t="n"/>
      <c r="J19" s="36" t="n"/>
      <c r="K19" s="36" t="n">
        <v>8.48</v>
      </c>
      <c r="L19" s="36" t="n">
        <v>9.01</v>
      </c>
      <c r="M19" s="36" t="n"/>
      <c r="N19" s="36" t="n"/>
      <c r="O19" s="36" t="inlineStr">
        <is>
          <t>F#m</t>
        </is>
      </c>
      <c r="P19" s="36" t="inlineStr">
        <is>
          <t>D3</t>
        </is>
      </c>
      <c r="Q19" s="36" t="inlineStr">
        <is>
          <t>D#2</t>
        </is>
      </c>
      <c r="R19" s="38">
        <f>IF(M19="","",LEFT(M19,LEN(M19)-1))</f>
        <v/>
      </c>
      <c r="S19" s="38">
        <f>IF(N19="","",LEFT(N19,LEN(N19)-1))</f>
        <v/>
      </c>
      <c r="T19" s="38">
        <f>IF(O19="","",LEFT(O19,LEN(O19)-1))</f>
        <v/>
      </c>
      <c r="U19" s="38">
        <f>IF(P19="","",LEFT(P19,LEN(P19)-1))</f>
        <v/>
      </c>
      <c r="V19" s="38">
        <f>IF(Q19="","",LEFT(Q19,LEN(Q19)-1))</f>
        <v/>
      </c>
      <c r="W19" s="38">
        <f>IF(M19="","",IFERROR(VALUE(RIGHT(M19,1)),""))</f>
        <v/>
      </c>
      <c r="X19" s="38">
        <f>IF(N19="","",IFERROR(VALUE(RIGHT(N19,1)),""))</f>
        <v/>
      </c>
      <c r="Y19" s="38">
        <f>IF(O19="","",IFERROR(VALUE(RIGHT(O19,1)),""))</f>
        <v/>
      </c>
      <c r="Z19" s="38">
        <f>IF(P19="","",IFERROR(VALUE(RIGHT(P19,1)),""))</f>
        <v/>
      </c>
      <c r="AA19" s="38">
        <f>IF(Q19="","",IFERROR(VALUE(RIGHT(Q19,1)),""))</f>
        <v/>
      </c>
      <c r="AB19" s="38">
        <f>IF(OR(M19="",W19=""),"",IFERROR(ROUND(440*2^((12*(W19+1)+IFERROR(MATCH(R19,{"C","C#","D","D#","E","F","F#","G","G#","A","A#","B"},0)-1,MATCH(R19,{"C","Db","D","Eb","E","F","Gb","G","Ab","A","Bb","B"},0)-1)-69)/12),2),""))</f>
        <v/>
      </c>
      <c r="AC19" s="38">
        <f>IF(OR(N19="",X19=""),"",IFERROR(ROUND(440*2^((12*(X19+1)+IFERROR(MATCH(S19,{"C","C#","D","D#","E","F","F#","G","G#","A","A#","B"},0)-1,MATCH(S19,{"C","Db","D","Eb","E","F","Gb","G","Ab","A","Bb","B"},0)-1)-69)/12),2),""))</f>
        <v/>
      </c>
      <c r="AD19" s="38">
        <f>IF(OR(O19="",Y19=""),"",IFERROR(ROUND(440*2^((12*(Y19+1)+IFERROR(MATCH(T19,{"C","C#","D","D#","E","F","F#","G","G#","A","A#","B"},0)-1,MATCH(T19,{"C","Db","D","Eb","E","F","Gb","G","Ab","A","Bb","B"},0)-1)-69)/12),2),""))</f>
        <v/>
      </c>
      <c r="AE19" s="38">
        <f>IF(OR(P19="",Z19=""),"",IFERROR(ROUND(440*2^((12*(Z19+1)+IFERROR(MATCH(U19,{"C","C#","D","D#","E","F","F#","G","G#","A","A#","B"},0)-1,MATCH(U19,{"C","Db","D","Eb","E","F","Gb","G","Ab","A","Bb","B"},0)-1)-69)/12),2),""))</f>
        <v/>
      </c>
      <c r="AF19" s="38">
        <f>IF(OR(Q19="",AA19=""),"",IFERROR(ROUND(440*2^((12*(AA19+1)+IFERROR(MATCH(V19,{"C","C#","D","D#","E","F","F#","G","G#","A","A#","B"},0)-1,MATCH(V19,{"C","Db","D","Eb","E","F","Gb","G","Ab","A","Bb","B"},0)-1)-69)/12),2),""))</f>
        <v/>
      </c>
      <c r="AG19" s="36" t="n"/>
      <c r="AH19" s="36" t="n"/>
      <c r="AI19" s="36" t="n"/>
      <c r="AJ19" s="36" t="inlineStr">
        <is>
          <t>Low</t>
        </is>
      </c>
      <c r="AK19" s="36" t="inlineStr">
        <is>
          <t>Low</t>
        </is>
      </c>
      <c r="AL19" s="35" t="n"/>
    </row>
    <row r="20">
      <c r="A20" s="35" t="inlineStr">
        <is>
          <t>TEST_002</t>
        </is>
      </c>
      <c r="B20" s="35" t="n">
        <v>8</v>
      </c>
      <c r="C20" s="36" t="n"/>
      <c r="D20" s="36" t="n"/>
      <c r="E20" s="37" t="n">
        <v>0.008333333333333333</v>
      </c>
      <c r="F20" s="36" t="n">
        <v>8.73</v>
      </c>
      <c r="G20" s="36" t="n">
        <v>10.74</v>
      </c>
      <c r="H20" s="36" t="n"/>
      <c r="I20" s="36" t="n"/>
      <c r="J20" s="36" t="n"/>
      <c r="K20" s="36" t="n">
        <v>8.970000000000001</v>
      </c>
      <c r="L20" s="36" t="n">
        <v>10.95</v>
      </c>
      <c r="M20" s="36" t="n"/>
      <c r="N20" s="36" t="n"/>
      <c r="O20" s="36" t="inlineStr">
        <is>
          <t>Bm</t>
        </is>
      </c>
      <c r="P20" s="36" t="inlineStr">
        <is>
          <t>D3</t>
        </is>
      </c>
      <c r="Q20" s="36" t="inlineStr">
        <is>
          <t>D#2</t>
        </is>
      </c>
      <c r="R20" s="38">
        <f>IF(M20="","",LEFT(M20,LEN(M20)-1))</f>
        <v/>
      </c>
      <c r="S20" s="38">
        <f>IF(N20="","",LEFT(N20,LEN(N20)-1))</f>
        <v/>
      </c>
      <c r="T20" s="38">
        <f>IF(O20="","",LEFT(O20,LEN(O20)-1))</f>
        <v/>
      </c>
      <c r="U20" s="38">
        <f>IF(P20="","",LEFT(P20,LEN(P20)-1))</f>
        <v/>
      </c>
      <c r="V20" s="38">
        <f>IF(Q20="","",LEFT(Q20,LEN(Q20)-1))</f>
        <v/>
      </c>
      <c r="W20" s="38">
        <f>IF(M20="","",IFERROR(VALUE(RIGHT(M20,1)),""))</f>
        <v/>
      </c>
      <c r="X20" s="38">
        <f>IF(N20="","",IFERROR(VALUE(RIGHT(N20,1)),""))</f>
        <v/>
      </c>
      <c r="Y20" s="38">
        <f>IF(O20="","",IFERROR(VALUE(RIGHT(O20,1)),""))</f>
        <v/>
      </c>
      <c r="Z20" s="38">
        <f>IF(P20="","",IFERROR(VALUE(RIGHT(P20,1)),""))</f>
        <v/>
      </c>
      <c r="AA20" s="38">
        <f>IF(Q20="","",IFERROR(VALUE(RIGHT(Q20,1)),""))</f>
        <v/>
      </c>
      <c r="AB20" s="38">
        <f>IF(OR(M20="",W20=""),"",IFERROR(ROUND(440*2^((12*(W20+1)+IFERROR(MATCH(R20,{"C","C#","D","D#","E","F","F#","G","G#","A","A#","B"},0)-1,MATCH(R20,{"C","Db","D","Eb","E","F","Gb","G","Ab","A","Bb","B"},0)-1)-69)/12),2),""))</f>
        <v/>
      </c>
      <c r="AC20" s="38">
        <f>IF(OR(N20="",X20=""),"",IFERROR(ROUND(440*2^((12*(X20+1)+IFERROR(MATCH(S20,{"C","C#","D","D#","E","F","F#","G","G#","A","A#","B"},0)-1,MATCH(S20,{"C","Db","D","Eb","E","F","Gb","G","Ab","A","Bb","B"},0)-1)-69)/12),2),""))</f>
        <v/>
      </c>
      <c r="AD20" s="38">
        <f>IF(OR(O20="",Y20=""),"",IFERROR(ROUND(440*2^((12*(Y20+1)+IFERROR(MATCH(T20,{"C","C#","D","D#","E","F","F#","G","G#","A","A#","B"},0)-1,MATCH(T20,{"C","Db","D","Eb","E","F","Gb","G","Ab","A","Bb","B"},0)-1)-69)/12),2),""))</f>
        <v/>
      </c>
      <c r="AE20" s="38">
        <f>IF(OR(P20="",Z20=""),"",IFERROR(ROUND(440*2^((12*(Z20+1)+IFERROR(MATCH(U20,{"C","C#","D","D#","E","F","F#","G","G#","A","A#","B"},0)-1,MATCH(U20,{"C","Db","D","Eb","E","F","Gb","G","Ab","A","Bb","B"},0)-1)-69)/12),2),""))</f>
        <v/>
      </c>
      <c r="AF20" s="38">
        <f>IF(OR(Q20="",AA20=""),"",IFERROR(ROUND(440*2^((12*(AA20+1)+IFERROR(MATCH(V20,{"C","C#","D","D#","E","F","F#","G","G#","A","A#","B"},0)-1,MATCH(V20,{"C","Db","D","Eb","E","F","Gb","G","Ab","A","Bb","B"},0)-1)-69)/12),2),""))</f>
        <v/>
      </c>
      <c r="AG20" s="36" t="n"/>
      <c r="AH20" s="36" t="n"/>
      <c r="AI20" s="36" t="n"/>
      <c r="AJ20" s="36" t="inlineStr">
        <is>
          <t>Low</t>
        </is>
      </c>
      <c r="AK20" s="36" t="inlineStr">
        <is>
          <t>Low</t>
        </is>
      </c>
      <c r="AL20" s="35" t="n"/>
    </row>
    <row r="21">
      <c r="A21" s="35" t="inlineStr">
        <is>
          <t>TEST_002</t>
        </is>
      </c>
      <c r="B21" s="35" t="n">
        <v>9</v>
      </c>
      <c r="C21" s="36" t="n"/>
      <c r="D21" s="36" t="n"/>
      <c r="E21" s="37" t="n">
        <v>0.009027777777777777</v>
      </c>
      <c r="F21" s="36" t="n">
        <v>8.970000000000001</v>
      </c>
      <c r="G21" s="36" t="n">
        <v>11.51</v>
      </c>
      <c r="H21" s="36" t="n"/>
      <c r="I21" s="36" t="n"/>
      <c r="J21" s="36" t="n"/>
      <c r="K21" s="36" t="n">
        <v>9.15</v>
      </c>
      <c r="L21" s="36" t="n">
        <v>11.8</v>
      </c>
      <c r="M21" s="36" t="n"/>
      <c r="N21" s="36" t="n"/>
      <c r="O21" s="36" t="inlineStr">
        <is>
          <t>A</t>
        </is>
      </c>
      <c r="P21" s="36" t="inlineStr">
        <is>
          <t>B2</t>
        </is>
      </c>
      <c r="Q21" s="36" t="inlineStr">
        <is>
          <t>E3</t>
        </is>
      </c>
      <c r="R21" s="38">
        <f>IF(M21="","",LEFT(M21,LEN(M21)-1))</f>
        <v/>
      </c>
      <c r="S21" s="38">
        <f>IF(N21="","",LEFT(N21,LEN(N21)-1))</f>
        <v/>
      </c>
      <c r="T21" s="38">
        <f>IF(O21="","",LEFT(O21,LEN(O21)-1))</f>
        <v/>
      </c>
      <c r="U21" s="38">
        <f>IF(P21="","",LEFT(P21,LEN(P21)-1))</f>
        <v/>
      </c>
      <c r="V21" s="38">
        <f>IF(Q21="","",LEFT(Q21,LEN(Q21)-1))</f>
        <v/>
      </c>
      <c r="W21" s="38">
        <f>IF(M21="","",IFERROR(VALUE(RIGHT(M21,1)),""))</f>
        <v/>
      </c>
      <c r="X21" s="38">
        <f>IF(N21="","",IFERROR(VALUE(RIGHT(N21,1)),""))</f>
        <v/>
      </c>
      <c r="Y21" s="38">
        <f>IF(O21="","",IFERROR(VALUE(RIGHT(O21,1)),""))</f>
        <v/>
      </c>
      <c r="Z21" s="38">
        <f>IF(P21="","",IFERROR(VALUE(RIGHT(P21,1)),""))</f>
        <v/>
      </c>
      <c r="AA21" s="38">
        <f>IF(Q21="","",IFERROR(VALUE(RIGHT(Q21,1)),""))</f>
        <v/>
      </c>
      <c r="AB21" s="38">
        <f>IF(OR(M21="",W21=""),"",IFERROR(ROUND(440*2^((12*(W21+1)+IFERROR(MATCH(R21,{"C","C#","D","D#","E","F","F#","G","G#","A","A#","B"},0)-1,MATCH(R21,{"C","Db","D","Eb","E","F","Gb","G","Ab","A","Bb","B"},0)-1)-69)/12),2),""))</f>
        <v/>
      </c>
      <c r="AC21" s="38">
        <f>IF(OR(N21="",X21=""),"",IFERROR(ROUND(440*2^((12*(X21+1)+IFERROR(MATCH(S21,{"C","C#","D","D#","E","F","F#","G","G#","A","A#","B"},0)-1,MATCH(S21,{"C","Db","D","Eb","E","F","Gb","G","Ab","A","Bb","B"},0)-1)-69)/12),2),""))</f>
        <v/>
      </c>
      <c r="AD21" s="38">
        <f>IF(OR(O21="",Y21=""),"",IFERROR(ROUND(440*2^((12*(Y21+1)+IFERROR(MATCH(T21,{"C","C#","D","D#","E","F","F#","G","G#","A","A#","B"},0)-1,MATCH(T21,{"C","Db","D","Eb","E","F","Gb","G","Ab","A","Bb","B"},0)-1)-69)/12),2),""))</f>
        <v/>
      </c>
      <c r="AE21" s="38">
        <f>IF(OR(P21="",Z21=""),"",IFERROR(ROUND(440*2^((12*(Z21+1)+IFERROR(MATCH(U21,{"C","C#","D","D#","E","F","F#","G","G#","A","A#","B"},0)-1,MATCH(U21,{"C","Db","D","Eb","E","F","Gb","G","Ab","A","Bb","B"},0)-1)-69)/12),2),""))</f>
        <v/>
      </c>
      <c r="AF21" s="38">
        <f>IF(OR(Q21="",AA21=""),"",IFERROR(ROUND(440*2^((12*(AA21+1)+IFERROR(MATCH(V21,{"C","C#","D","D#","E","F","F#","G","G#","A","A#","B"},0)-1,MATCH(V21,{"C","Db","D","Eb","E","F","Gb","G","Ab","A","Bb","B"},0)-1)-69)/12),2),""))</f>
        <v/>
      </c>
      <c r="AG21" s="36" t="n"/>
      <c r="AH21" s="36" t="n"/>
      <c r="AI21" s="36" t="n"/>
      <c r="AJ21" s="36" t="inlineStr">
        <is>
          <t>Low</t>
        </is>
      </c>
      <c r="AK21" s="36" t="inlineStr">
        <is>
          <t>Low</t>
        </is>
      </c>
      <c r="AL21" s="35" t="n"/>
    </row>
    <row r="22">
      <c r="A22" s="35" t="inlineStr">
        <is>
          <t>TEST_002</t>
        </is>
      </c>
      <c r="B22" s="35" t="n">
        <v>10</v>
      </c>
      <c r="C22" s="36" t="n"/>
      <c r="D22" s="36" t="n"/>
      <c r="E22" s="37" t="n">
        <v>0.009722222222222222</v>
      </c>
      <c r="F22" s="36" t="n">
        <v>9.58</v>
      </c>
      <c r="G22" s="36" t="n">
        <v>12.47</v>
      </c>
      <c r="H22" s="36" t="n"/>
      <c r="I22" s="36" t="n"/>
      <c r="J22" s="36" t="n"/>
      <c r="K22" s="36" t="n">
        <v>9.720000000000001</v>
      </c>
      <c r="L22" s="36" t="n">
        <v>12.79</v>
      </c>
      <c r="M22" s="36" t="n"/>
      <c r="N22" s="36" t="n"/>
      <c r="O22" s="36" t="inlineStr">
        <is>
          <t>G</t>
        </is>
      </c>
      <c r="P22" s="36" t="inlineStr">
        <is>
          <t>A2</t>
        </is>
      </c>
      <c r="Q22" s="36" t="inlineStr">
        <is>
          <t>G4</t>
        </is>
      </c>
      <c r="R22" s="38">
        <f>IF(M22="","",LEFT(M22,LEN(M22)-1))</f>
        <v/>
      </c>
      <c r="S22" s="38">
        <f>IF(N22="","",LEFT(N22,LEN(N22)-1))</f>
        <v/>
      </c>
      <c r="T22" s="38">
        <f>IF(O22="","",LEFT(O22,LEN(O22)-1))</f>
        <v/>
      </c>
      <c r="U22" s="38">
        <f>IF(P22="","",LEFT(P22,LEN(P22)-1))</f>
        <v/>
      </c>
      <c r="V22" s="38">
        <f>IF(Q22="","",LEFT(Q22,LEN(Q22)-1))</f>
        <v/>
      </c>
      <c r="W22" s="38">
        <f>IF(M22="","",IFERROR(VALUE(RIGHT(M22,1)),""))</f>
        <v/>
      </c>
      <c r="X22" s="38">
        <f>IF(N22="","",IFERROR(VALUE(RIGHT(N22,1)),""))</f>
        <v/>
      </c>
      <c r="Y22" s="38">
        <f>IF(O22="","",IFERROR(VALUE(RIGHT(O22,1)),""))</f>
        <v/>
      </c>
      <c r="Z22" s="38">
        <f>IF(P22="","",IFERROR(VALUE(RIGHT(P22,1)),""))</f>
        <v/>
      </c>
      <c r="AA22" s="38">
        <f>IF(Q22="","",IFERROR(VALUE(RIGHT(Q22,1)),""))</f>
        <v/>
      </c>
      <c r="AB22" s="38">
        <f>IF(OR(M22="",W22=""),"",IFERROR(ROUND(440*2^((12*(W22+1)+IFERROR(MATCH(R22,{"C","C#","D","D#","E","F","F#","G","G#","A","A#","B"},0)-1,MATCH(R22,{"C","Db","D","Eb","E","F","Gb","G","Ab","A","Bb","B"},0)-1)-69)/12),2),""))</f>
        <v/>
      </c>
      <c r="AC22" s="38">
        <f>IF(OR(N22="",X22=""),"",IFERROR(ROUND(440*2^((12*(X22+1)+IFERROR(MATCH(S22,{"C","C#","D","D#","E","F","F#","G","G#","A","A#","B"},0)-1,MATCH(S22,{"C","Db","D","Eb","E","F","Gb","G","Ab","A","Bb","B"},0)-1)-69)/12),2),""))</f>
        <v/>
      </c>
      <c r="AD22" s="38">
        <f>IF(OR(O22="",Y22=""),"",IFERROR(ROUND(440*2^((12*(Y22+1)+IFERROR(MATCH(T22,{"C","C#","D","D#","E","F","F#","G","G#","A","A#","B"},0)-1,MATCH(T22,{"C","Db","D","Eb","E","F","Gb","G","Ab","A","Bb","B"},0)-1)-69)/12),2),""))</f>
        <v/>
      </c>
      <c r="AE22" s="38">
        <f>IF(OR(P22="",Z22=""),"",IFERROR(ROUND(440*2^((12*(Z22+1)+IFERROR(MATCH(U22,{"C","C#","D","D#","E","F","F#","G","G#","A","A#","B"},0)-1,MATCH(U22,{"C","Db","D","Eb","E","F","Gb","G","Ab","A","Bb","B"},0)-1)-69)/12),2),""))</f>
        <v/>
      </c>
      <c r="AF22" s="38">
        <f>IF(OR(Q22="",AA22=""),"",IFERROR(ROUND(440*2^((12*(AA22+1)+IFERROR(MATCH(V22,{"C","C#","D","D#","E","F","F#","G","G#","A","A#","B"},0)-1,MATCH(V22,{"C","Db","D","Eb","E","F","Gb","G","Ab","A","Bb","B"},0)-1)-69)/12),2),""))</f>
        <v/>
      </c>
      <c r="AG22" s="36" t="n"/>
      <c r="AH22" s="36" t="n"/>
      <c r="AI22" s="36" t="n"/>
      <c r="AJ22" s="36" t="inlineStr">
        <is>
          <t>Low</t>
        </is>
      </c>
      <c r="AK22" s="36" t="inlineStr">
        <is>
          <t>Low</t>
        </is>
      </c>
      <c r="AL22" s="35" t="n"/>
    </row>
    <row r="23">
      <c r="A23" s="35" t="inlineStr">
        <is>
          <t>TEST_003</t>
        </is>
      </c>
      <c r="B23" s="35" t="n">
        <v>1</v>
      </c>
      <c r="C23" s="36" t="n"/>
      <c r="D23" s="36" t="n"/>
      <c r="E23" s="37" t="n">
        <v>0.01041666666666667</v>
      </c>
      <c r="F23" s="36" t="n">
        <v>1.02</v>
      </c>
      <c r="G23" s="36" t="n">
        <v>0.86</v>
      </c>
      <c r="H23" s="36" t="n"/>
      <c r="I23" s="36" t="n"/>
      <c r="J23" s="36" t="n"/>
      <c r="K23" s="36" t="n">
        <v>1.15</v>
      </c>
      <c r="L23" s="36" t="n">
        <v>1.27</v>
      </c>
      <c r="M23" s="36" t="n"/>
      <c r="N23" s="36" t="inlineStr">
        <is>
          <t>N/A</t>
        </is>
      </c>
      <c r="O23" s="36" t="inlineStr">
        <is>
          <t>N/A</t>
        </is>
      </c>
      <c r="P23" s="36" t="inlineStr">
        <is>
          <t>F3</t>
        </is>
      </c>
      <c r="Q23" s="36" t="inlineStr">
        <is>
          <t>F2</t>
        </is>
      </c>
      <c r="R23" s="38">
        <f>IF(M23="","",LEFT(M23,LEN(M23)-1))</f>
        <v/>
      </c>
      <c r="S23" s="38">
        <f>IF(N23="","",LEFT(N23,LEN(N23)-1))</f>
        <v/>
      </c>
      <c r="T23" s="38">
        <f>IF(O23="","",LEFT(O23,LEN(O23)-1))</f>
        <v/>
      </c>
      <c r="U23" s="38">
        <f>IF(P23="","",LEFT(P23,LEN(P23)-1))</f>
        <v/>
      </c>
      <c r="V23" s="38">
        <f>IF(Q23="","",LEFT(Q23,LEN(Q23)-1))</f>
        <v/>
      </c>
      <c r="W23" s="38">
        <f>IF(M23="","",IFERROR(VALUE(RIGHT(M23,1)),""))</f>
        <v/>
      </c>
      <c r="X23" s="38">
        <f>IF(N23="","",IFERROR(VALUE(RIGHT(N23,1)),""))</f>
        <v/>
      </c>
      <c r="Y23" s="38">
        <f>IF(O23="","",IFERROR(VALUE(RIGHT(O23,1)),""))</f>
        <v/>
      </c>
      <c r="Z23" s="38">
        <f>IF(P23="","",IFERROR(VALUE(RIGHT(P23,1)),""))</f>
        <v/>
      </c>
      <c r="AA23" s="38">
        <f>IF(Q23="","",IFERROR(VALUE(RIGHT(Q23,1)),""))</f>
        <v/>
      </c>
      <c r="AB23" s="38">
        <f>IF(OR(M23="",W23=""),"",IFERROR(ROUND(440*2^((12*(W23+1)+IFERROR(MATCH(R23,{"C","C#","D","D#","E","F","F#","G","G#","A","A#","B"},0)-1,MATCH(R23,{"C","Db","D","Eb","E","F","Gb","G","Ab","A","Bb","B"},0)-1)-69)/12),2),""))</f>
        <v/>
      </c>
      <c r="AC23" s="38">
        <f>IF(OR(N23="",X23=""),"",IFERROR(ROUND(440*2^((12*(X23+1)+IFERROR(MATCH(S23,{"C","C#","D","D#","E","F","F#","G","G#","A","A#","B"},0)-1,MATCH(S23,{"C","Db","D","Eb","E","F","Gb","G","Ab","A","Bb","B"},0)-1)-69)/12),2),""))</f>
        <v/>
      </c>
      <c r="AD23" s="38">
        <f>IF(OR(O23="",Y23=""),"",IFERROR(ROUND(440*2^((12*(Y23+1)+IFERROR(MATCH(T23,{"C","C#","D","D#","E","F","F#","G","G#","A","A#","B"},0)-1,MATCH(T23,{"C","Db","D","Eb","E","F","Gb","G","Ab","A","Bb","B"},0)-1)-69)/12),2),""))</f>
        <v/>
      </c>
      <c r="AE23" s="38">
        <f>IF(OR(P23="",Z23=""),"",IFERROR(ROUND(440*2^((12*(Z23+1)+IFERROR(MATCH(U23,{"C","C#","D","D#","E","F","F#","G","G#","A","A#","B"},0)-1,MATCH(U23,{"C","Db","D","Eb","E","F","Gb","G","Ab","A","Bb","B"},0)-1)-69)/12),2),""))</f>
        <v/>
      </c>
      <c r="AF23" s="38">
        <f>IF(OR(Q23="",AA23=""),"",IFERROR(ROUND(440*2^((12*(AA23+1)+IFERROR(MATCH(V23,{"C","C#","D","D#","E","F","F#","G","G#","A","A#","B"},0)-1,MATCH(V23,{"C","Db","D","Eb","E","F","Gb","G","Ab","A","Bb","B"},0)-1)-69)/12),2),""))</f>
        <v/>
      </c>
      <c r="AG23" s="36" t="n"/>
      <c r="AH23" s="36" t="n"/>
      <c r="AI23" s="36" t="n"/>
      <c r="AJ23" s="36" t="inlineStr">
        <is>
          <t>Low</t>
        </is>
      </c>
      <c r="AK23" s="36" t="inlineStr">
        <is>
          <t>Low</t>
        </is>
      </c>
      <c r="AL2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24">
      <c r="A24" s="35" t="inlineStr">
        <is>
          <t>TEST_003</t>
        </is>
      </c>
      <c r="B24" s="35" t="n">
        <v>2</v>
      </c>
      <c r="C24" s="36" t="n"/>
      <c r="D24" s="36" t="n"/>
      <c r="E24" s="37" t="n">
        <v>0.01111111111111111</v>
      </c>
      <c r="F24" s="36" t="n">
        <v>2.31</v>
      </c>
      <c r="G24" s="36" t="n">
        <v>3.2</v>
      </c>
      <c r="H24" s="36" t="n"/>
      <c r="I24" s="36" t="n"/>
      <c r="J24" s="36" t="n"/>
      <c r="K24" s="36" t="n">
        <v>2.49</v>
      </c>
      <c r="L24" s="36" t="n">
        <v>4.1</v>
      </c>
      <c r="M24" s="36" t="n"/>
      <c r="N24" s="36" t="n"/>
      <c r="O24" s="36" t="inlineStr">
        <is>
          <t>D</t>
        </is>
      </c>
      <c r="P24" s="36" t="inlineStr">
        <is>
          <t>F3</t>
        </is>
      </c>
      <c r="Q24" s="36" t="inlineStr">
        <is>
          <t>G3</t>
        </is>
      </c>
      <c r="R24" s="38">
        <f>IF(M24="","",LEFT(M24,LEN(M24)-1))</f>
        <v/>
      </c>
      <c r="S24" s="38">
        <f>IF(N24="","",LEFT(N24,LEN(N24)-1))</f>
        <v/>
      </c>
      <c r="T24" s="38">
        <f>IF(O24="","",LEFT(O24,LEN(O24)-1))</f>
        <v/>
      </c>
      <c r="U24" s="38">
        <f>IF(P24="","",LEFT(P24,LEN(P24)-1))</f>
        <v/>
      </c>
      <c r="V24" s="38">
        <f>IF(Q24="","",LEFT(Q24,LEN(Q24)-1))</f>
        <v/>
      </c>
      <c r="W24" s="38">
        <f>IF(M24="","",IFERROR(VALUE(RIGHT(M24,1)),""))</f>
        <v/>
      </c>
      <c r="X24" s="38">
        <f>IF(N24="","",IFERROR(VALUE(RIGHT(N24,1)),""))</f>
        <v/>
      </c>
      <c r="Y24" s="38">
        <f>IF(O24="","",IFERROR(VALUE(RIGHT(O24,1)),""))</f>
        <v/>
      </c>
      <c r="Z24" s="38">
        <f>IF(P24="","",IFERROR(VALUE(RIGHT(P24,1)),""))</f>
        <v/>
      </c>
      <c r="AA24" s="38">
        <f>IF(Q24="","",IFERROR(VALUE(RIGHT(Q24,1)),""))</f>
        <v/>
      </c>
      <c r="AB24" s="38">
        <f>IF(OR(M24="",W24=""),"",IFERROR(ROUND(440*2^((12*(W24+1)+IFERROR(MATCH(R24,{"C","C#","D","D#","E","F","F#","G","G#","A","A#","B"},0)-1,MATCH(R24,{"C","Db","D","Eb","E","F","Gb","G","Ab","A","Bb","B"},0)-1)-69)/12),2),""))</f>
        <v/>
      </c>
      <c r="AC24" s="38">
        <f>IF(OR(N24="",X24=""),"",IFERROR(ROUND(440*2^((12*(X24+1)+IFERROR(MATCH(S24,{"C","C#","D","D#","E","F","F#","G","G#","A","A#","B"},0)-1,MATCH(S24,{"C","Db","D","Eb","E","F","Gb","G","Ab","A","Bb","B"},0)-1)-69)/12),2),""))</f>
        <v/>
      </c>
      <c r="AD24" s="38">
        <f>IF(OR(O24="",Y24=""),"",IFERROR(ROUND(440*2^((12*(Y24+1)+IFERROR(MATCH(T24,{"C","C#","D","D#","E","F","F#","G","G#","A","A#","B"},0)-1,MATCH(T24,{"C","Db","D","Eb","E","F","Gb","G","Ab","A","Bb","B"},0)-1)-69)/12),2),""))</f>
        <v/>
      </c>
      <c r="AE24" s="38">
        <f>IF(OR(P24="",Z24=""),"",IFERROR(ROUND(440*2^((12*(Z24+1)+IFERROR(MATCH(U24,{"C","C#","D","D#","E","F","F#","G","G#","A","A#","B"},0)-1,MATCH(U24,{"C","Db","D","Eb","E","F","Gb","G","Ab","A","Bb","B"},0)-1)-69)/12),2),""))</f>
        <v/>
      </c>
      <c r="AF24" s="38">
        <f>IF(OR(Q24="",AA24=""),"",IFERROR(ROUND(440*2^((12*(AA24+1)+IFERROR(MATCH(V24,{"C","C#","D","D#","E","F","F#","G","G#","A","A#","B"},0)-1,MATCH(V24,{"C","Db","D","Eb","E","F","Gb","G","Ab","A","Bb","B"},0)-1)-69)/12),2),""))</f>
        <v/>
      </c>
      <c r="AG24" s="36" t="n"/>
      <c r="AH24" s="36" t="n"/>
      <c r="AI24" s="36" t="n"/>
      <c r="AJ24" s="36" t="inlineStr">
        <is>
          <t>Low</t>
        </is>
      </c>
      <c r="AK24" s="36" t="inlineStr">
        <is>
          <t>Low</t>
        </is>
      </c>
      <c r="AL24" s="35" t="n"/>
    </row>
    <row r="25">
      <c r="A25" s="35" t="inlineStr">
        <is>
          <t>TEST_003</t>
        </is>
      </c>
      <c r="B25" s="35" t="n">
        <v>3</v>
      </c>
      <c r="C25" s="36" t="n"/>
      <c r="D25" s="36" t="n"/>
      <c r="E25" s="37" t="n">
        <v>0.01180555555555556</v>
      </c>
      <c r="F25" s="36" t="n">
        <v>2.71</v>
      </c>
      <c r="G25" s="36" t="n">
        <v>4.13</v>
      </c>
      <c r="H25" s="36" t="n"/>
      <c r="I25" s="36" t="n"/>
      <c r="J25" s="36" t="n"/>
      <c r="K25" s="36" t="n">
        <v>2.85</v>
      </c>
      <c r="L25" s="36" t="n">
        <v>4.5</v>
      </c>
      <c r="M25" s="36" t="n"/>
      <c r="N25" s="36" t="n"/>
      <c r="O25" s="36" t="inlineStr">
        <is>
          <t>A</t>
        </is>
      </c>
      <c r="P25" s="36" t="inlineStr">
        <is>
          <t>B3</t>
        </is>
      </c>
      <c r="Q25" s="36" t="inlineStr">
        <is>
          <t>G3</t>
        </is>
      </c>
      <c r="R25" s="38">
        <f>IF(M25="","",LEFT(M25,LEN(M25)-1))</f>
        <v/>
      </c>
      <c r="S25" s="38">
        <f>IF(N25="","",LEFT(N25,LEN(N25)-1))</f>
        <v/>
      </c>
      <c r="T25" s="38">
        <f>IF(O25="","",LEFT(O25,LEN(O25)-1))</f>
        <v/>
      </c>
      <c r="U25" s="38">
        <f>IF(P25="","",LEFT(P25,LEN(P25)-1))</f>
        <v/>
      </c>
      <c r="V25" s="38">
        <f>IF(Q25="","",LEFT(Q25,LEN(Q25)-1))</f>
        <v/>
      </c>
      <c r="W25" s="38">
        <f>IF(M25="","",IFERROR(VALUE(RIGHT(M25,1)),""))</f>
        <v/>
      </c>
      <c r="X25" s="38">
        <f>IF(N25="","",IFERROR(VALUE(RIGHT(N25,1)),""))</f>
        <v/>
      </c>
      <c r="Y25" s="38">
        <f>IF(O25="","",IFERROR(VALUE(RIGHT(O25,1)),""))</f>
        <v/>
      </c>
      <c r="Z25" s="38">
        <f>IF(P25="","",IFERROR(VALUE(RIGHT(P25,1)),""))</f>
        <v/>
      </c>
      <c r="AA25" s="38">
        <f>IF(Q25="","",IFERROR(VALUE(RIGHT(Q25,1)),""))</f>
        <v/>
      </c>
      <c r="AB25" s="38">
        <f>IF(OR(M25="",W25=""),"",IFERROR(ROUND(440*2^((12*(W25+1)+IFERROR(MATCH(R25,{"C","C#","D","D#","E","F","F#","G","G#","A","A#","B"},0)-1,MATCH(R25,{"C","Db","D","Eb","E","F","Gb","G","Ab","A","Bb","B"},0)-1)-69)/12),2),""))</f>
        <v/>
      </c>
      <c r="AC25" s="38">
        <f>IF(OR(N25="",X25=""),"",IFERROR(ROUND(440*2^((12*(X25+1)+IFERROR(MATCH(S25,{"C","C#","D","D#","E","F","F#","G","G#","A","A#","B"},0)-1,MATCH(S25,{"C","Db","D","Eb","E","F","Gb","G","Ab","A","Bb","B"},0)-1)-69)/12),2),""))</f>
        <v/>
      </c>
      <c r="AD25" s="38">
        <f>IF(OR(O25="",Y25=""),"",IFERROR(ROUND(440*2^((12*(Y25+1)+IFERROR(MATCH(T25,{"C","C#","D","D#","E","F","F#","G","G#","A","A#","B"},0)-1,MATCH(T25,{"C","Db","D","Eb","E","F","Gb","G","Ab","A","Bb","B"},0)-1)-69)/12),2),""))</f>
        <v/>
      </c>
      <c r="AE25" s="38">
        <f>IF(OR(P25="",Z25=""),"",IFERROR(ROUND(440*2^((12*(Z25+1)+IFERROR(MATCH(U25,{"C","C#","D","D#","E","F","F#","G","G#","A","A#","B"},0)-1,MATCH(U25,{"C","Db","D","Eb","E","F","Gb","G","Ab","A","Bb","B"},0)-1)-69)/12),2),""))</f>
        <v/>
      </c>
      <c r="AF25" s="38">
        <f>IF(OR(Q25="",AA25=""),"",IFERROR(ROUND(440*2^((12*(AA25+1)+IFERROR(MATCH(V25,{"C","C#","D","D#","E","F","F#","G","G#","A","A#","B"},0)-1,MATCH(V25,{"C","Db","D","Eb","E","F","Gb","G","Ab","A","Bb","B"},0)-1)-69)/12),2),""))</f>
        <v/>
      </c>
      <c r="AG25" s="36" t="n"/>
      <c r="AH25" s="36" t="n"/>
      <c r="AI25" s="36" t="n"/>
      <c r="AJ25" s="36" t="inlineStr">
        <is>
          <t>Low</t>
        </is>
      </c>
      <c r="AK25" s="36" t="inlineStr">
        <is>
          <t>Low</t>
        </is>
      </c>
      <c r="AL25" s="35" t="n"/>
    </row>
    <row r="26">
      <c r="A26" s="35" t="inlineStr">
        <is>
          <t>TEST_003</t>
        </is>
      </c>
      <c r="B26" s="35" t="n">
        <v>4</v>
      </c>
      <c r="C26" s="36" t="n"/>
      <c r="D26" s="36" t="n"/>
      <c r="E26" s="36" t="n"/>
      <c r="F26" s="36" t="n">
        <v>2.96</v>
      </c>
      <c r="G26" s="36" t="n">
        <v>4.68</v>
      </c>
      <c r="H26" s="36" t="n"/>
      <c r="I26" s="36" t="n"/>
      <c r="J26" s="36" t="n"/>
      <c r="K26" s="36" t="n">
        <v>3.17</v>
      </c>
      <c r="L26" s="36" t="n">
        <v>5.33</v>
      </c>
      <c r="M26" s="36" t="n"/>
      <c r="N26" s="36" t="n"/>
      <c r="O26" s="36" t="n"/>
      <c r="P26" s="36" t="inlineStr">
        <is>
          <t>A3</t>
        </is>
      </c>
      <c r="Q26" s="36" t="inlineStr">
        <is>
          <t>G3</t>
        </is>
      </c>
      <c r="R26" s="38">
        <f>IF(M26="","",LEFT(M26,LEN(M26)-1))</f>
        <v/>
      </c>
      <c r="S26" s="38">
        <f>IF(N26="","",LEFT(N26,LEN(N26)-1))</f>
        <v/>
      </c>
      <c r="T26" s="38">
        <f>IF(O26="","",LEFT(O26,LEN(O26)-1))</f>
        <v/>
      </c>
      <c r="U26" s="38">
        <f>IF(P26="","",LEFT(P26,LEN(P26)-1))</f>
        <v/>
      </c>
      <c r="V26" s="38">
        <f>IF(Q26="","",LEFT(Q26,LEN(Q26)-1))</f>
        <v/>
      </c>
      <c r="W26" s="38">
        <f>IF(M26="","",IFERROR(VALUE(RIGHT(M26,1)),""))</f>
        <v/>
      </c>
      <c r="X26" s="38">
        <f>IF(N26="","",IFERROR(VALUE(RIGHT(N26,1)),""))</f>
        <v/>
      </c>
      <c r="Y26" s="38">
        <f>IF(O26="","",IFERROR(VALUE(RIGHT(O26,1)),""))</f>
        <v/>
      </c>
      <c r="Z26" s="38">
        <f>IF(P26="","",IFERROR(VALUE(RIGHT(P26,1)),""))</f>
        <v/>
      </c>
      <c r="AA26" s="38">
        <f>IF(Q26="","",IFERROR(VALUE(RIGHT(Q26,1)),""))</f>
        <v/>
      </c>
      <c r="AB26" s="38">
        <f>IF(OR(M26="",W26=""),"",IFERROR(ROUND(440*2^((12*(W26+1)+IFERROR(MATCH(R26,{"C","C#","D","D#","E","F","F#","G","G#","A","A#","B"},0)-1,MATCH(R26,{"C","Db","D","Eb","E","F","Gb","G","Ab","A","Bb","B"},0)-1)-69)/12),2),""))</f>
        <v/>
      </c>
      <c r="AC26" s="38">
        <f>IF(OR(N26="",X26=""),"",IFERROR(ROUND(440*2^((12*(X26+1)+IFERROR(MATCH(S26,{"C","C#","D","D#","E","F","F#","G","G#","A","A#","B"},0)-1,MATCH(S26,{"C","Db","D","Eb","E","F","Gb","G","Ab","A","Bb","B"},0)-1)-69)/12),2),""))</f>
        <v/>
      </c>
      <c r="AD26" s="38">
        <f>IF(OR(O26="",Y26=""),"",IFERROR(ROUND(440*2^((12*(Y26+1)+IFERROR(MATCH(T26,{"C","C#","D","D#","E","F","F#","G","G#","A","A#","B"},0)-1,MATCH(T26,{"C","Db","D","Eb","E","F","Gb","G","Ab","A","Bb","B"},0)-1)-69)/12),2),""))</f>
        <v/>
      </c>
      <c r="AE26" s="38">
        <f>IF(OR(P26="",Z26=""),"",IFERROR(ROUND(440*2^((12*(Z26+1)+IFERROR(MATCH(U26,{"C","C#","D","D#","E","F","F#","G","G#","A","A#","B"},0)-1,MATCH(U26,{"C","Db","D","Eb","E","F","Gb","G","Ab","A","Bb","B"},0)-1)-69)/12),2),""))</f>
        <v/>
      </c>
      <c r="AF26" s="38">
        <f>IF(OR(Q26="",AA26=""),"",IFERROR(ROUND(440*2^((12*(AA26+1)+IFERROR(MATCH(V26,{"C","C#","D","D#","E","F","F#","G","G#","A","A#","B"},0)-1,MATCH(V26,{"C","Db","D","Eb","E","F","Gb","G","Ab","A","Bb","B"},0)-1)-69)/12),2),""))</f>
        <v/>
      </c>
      <c r="AG26" s="36" t="n"/>
      <c r="AH26" s="36" t="n"/>
      <c r="AI26" s="36" t="n"/>
      <c r="AJ26" s="36" t="inlineStr">
        <is>
          <t>Low</t>
        </is>
      </c>
      <c r="AK26" s="36" t="inlineStr">
        <is>
          <t>Low</t>
        </is>
      </c>
      <c r="AL26" s="35" t="n"/>
    </row>
    <row r="27">
      <c r="A27" s="35" t="inlineStr">
        <is>
          <t>TEST_003</t>
        </is>
      </c>
      <c r="B27" s="35" t="n">
        <v>5</v>
      </c>
      <c r="C27" s="36" t="n"/>
      <c r="D27" s="36" t="n"/>
      <c r="E27" s="36" t="n"/>
      <c r="F27" s="36" t="n">
        <v>3.39</v>
      </c>
      <c r="G27" s="36" t="n">
        <v>5.38</v>
      </c>
      <c r="H27" s="36" t="n"/>
      <c r="I27" s="36" t="n"/>
      <c r="J27" s="36" t="n"/>
      <c r="K27" s="36" t="n">
        <v>4.12</v>
      </c>
      <c r="L27" s="36" t="n">
        <v>5.67</v>
      </c>
      <c r="M27" s="36" t="n"/>
      <c r="N27" s="36" t="n"/>
      <c r="O27" s="36" t="n"/>
      <c r="P27" s="36" t="inlineStr">
        <is>
          <t>G3</t>
        </is>
      </c>
      <c r="Q27" s="36" t="inlineStr">
        <is>
          <t>F3</t>
        </is>
      </c>
      <c r="R27" s="38">
        <f>IF(M27="","",LEFT(M27,LEN(M27)-1))</f>
        <v/>
      </c>
      <c r="S27" s="38">
        <f>IF(N27="","",LEFT(N27,LEN(N27)-1))</f>
        <v/>
      </c>
      <c r="T27" s="38">
        <f>IF(O27="","",LEFT(O27,LEN(O27)-1))</f>
        <v/>
      </c>
      <c r="U27" s="38">
        <f>IF(P27="","",LEFT(P27,LEN(P27)-1))</f>
        <v/>
      </c>
      <c r="V27" s="38">
        <f>IF(Q27="","",LEFT(Q27,LEN(Q27)-1))</f>
        <v/>
      </c>
      <c r="W27" s="38">
        <f>IF(M27="","",IFERROR(VALUE(RIGHT(M27,1)),""))</f>
        <v/>
      </c>
      <c r="X27" s="38">
        <f>IF(N27="","",IFERROR(VALUE(RIGHT(N27,1)),""))</f>
        <v/>
      </c>
      <c r="Y27" s="38">
        <f>IF(O27="","",IFERROR(VALUE(RIGHT(O27,1)),""))</f>
        <v/>
      </c>
      <c r="Z27" s="38">
        <f>IF(P27="","",IFERROR(VALUE(RIGHT(P27,1)),""))</f>
        <v/>
      </c>
      <c r="AA27" s="38">
        <f>IF(Q27="","",IFERROR(VALUE(RIGHT(Q27,1)),""))</f>
        <v/>
      </c>
      <c r="AB27" s="38">
        <f>IF(OR(M27="",W27=""),"",IFERROR(ROUND(440*2^((12*(W27+1)+IFERROR(MATCH(R27,{"C","C#","D","D#","E","F","F#","G","G#","A","A#","B"},0)-1,MATCH(R27,{"C","Db","D","Eb","E","F","Gb","G","Ab","A","Bb","B"},0)-1)-69)/12),2),""))</f>
        <v/>
      </c>
      <c r="AC27" s="38">
        <f>IF(OR(N27="",X27=""),"",IFERROR(ROUND(440*2^((12*(X27+1)+IFERROR(MATCH(S27,{"C","C#","D","D#","E","F","F#","G","G#","A","A#","B"},0)-1,MATCH(S27,{"C","Db","D","Eb","E","F","Gb","G","Ab","A","Bb","B"},0)-1)-69)/12),2),""))</f>
        <v/>
      </c>
      <c r="AD27" s="38">
        <f>IF(OR(O27="",Y27=""),"",IFERROR(ROUND(440*2^((12*(Y27+1)+IFERROR(MATCH(T27,{"C","C#","D","D#","E","F","F#","G","G#","A","A#","B"},0)-1,MATCH(T27,{"C","Db","D","Eb","E","F","Gb","G","Ab","A","Bb","B"},0)-1)-69)/12),2),""))</f>
        <v/>
      </c>
      <c r="AE27" s="38">
        <f>IF(OR(P27="",Z27=""),"",IFERROR(ROUND(440*2^((12*(Z27+1)+IFERROR(MATCH(U27,{"C","C#","D","D#","E","F","F#","G","G#","A","A#","B"},0)-1,MATCH(U27,{"C","Db","D","Eb","E","F","Gb","G","Ab","A","Bb","B"},0)-1)-69)/12),2),""))</f>
        <v/>
      </c>
      <c r="AF27" s="38">
        <f>IF(OR(Q27="",AA27=""),"",IFERROR(ROUND(440*2^((12*(AA27+1)+IFERROR(MATCH(V27,{"C","C#","D","D#","E","F","F#","G","G#","A","A#","B"},0)-1,MATCH(V27,{"C","Db","D","Eb","E","F","Gb","G","Ab","A","Bb","B"},0)-1)-69)/12),2),""))</f>
        <v/>
      </c>
      <c r="AG27" s="36" t="n"/>
      <c r="AH27" s="36" t="n"/>
      <c r="AI27" s="36" t="n"/>
      <c r="AJ27" s="36" t="inlineStr">
        <is>
          <t>Low</t>
        </is>
      </c>
      <c r="AK27" s="36" t="inlineStr">
        <is>
          <t>Low</t>
        </is>
      </c>
      <c r="AL27" s="35" t="n"/>
    </row>
    <row r="28">
      <c r="A28" s="35" t="inlineStr">
        <is>
          <t>TEST_003</t>
        </is>
      </c>
      <c r="B28" s="35" t="n">
        <v>6</v>
      </c>
      <c r="C28" s="36" t="n"/>
      <c r="D28" s="36" t="n"/>
      <c r="E28" s="36" t="n"/>
      <c r="F28" s="36" t="n">
        <v>4.12</v>
      </c>
      <c r="G28" s="36" t="n">
        <v>5.68</v>
      </c>
      <c r="H28" s="36" t="n"/>
      <c r="I28" s="36" t="n"/>
      <c r="J28" s="36" t="n"/>
      <c r="K28" s="36" t="n">
        <v>4.46</v>
      </c>
      <c r="L28" s="36" t="n">
        <v>6.05</v>
      </c>
      <c r="M28" s="36" t="n"/>
      <c r="N28" s="36" t="n"/>
      <c r="O28" s="36" t="n"/>
      <c r="P28" s="36" t="inlineStr">
        <is>
          <t>G3</t>
        </is>
      </c>
      <c r="Q28" s="36" t="inlineStr">
        <is>
          <t>F3</t>
        </is>
      </c>
      <c r="R28" s="38">
        <f>IF(M28="","",LEFT(M28,LEN(M28)-1))</f>
        <v/>
      </c>
      <c r="S28" s="38">
        <f>IF(N28="","",LEFT(N28,LEN(N28)-1))</f>
        <v/>
      </c>
      <c r="T28" s="38">
        <f>IF(O28="","",LEFT(O28,LEN(O28)-1))</f>
        <v/>
      </c>
      <c r="U28" s="38">
        <f>IF(P28="","",LEFT(P28,LEN(P28)-1))</f>
        <v/>
      </c>
      <c r="V28" s="38">
        <f>IF(Q28="","",LEFT(Q28,LEN(Q28)-1))</f>
        <v/>
      </c>
      <c r="W28" s="38">
        <f>IF(M28="","",IFERROR(VALUE(RIGHT(M28,1)),""))</f>
        <v/>
      </c>
      <c r="X28" s="38">
        <f>IF(N28="","",IFERROR(VALUE(RIGHT(N28,1)),""))</f>
        <v/>
      </c>
      <c r="Y28" s="38">
        <f>IF(O28="","",IFERROR(VALUE(RIGHT(O28,1)),""))</f>
        <v/>
      </c>
      <c r="Z28" s="38">
        <f>IF(P28="","",IFERROR(VALUE(RIGHT(P28,1)),""))</f>
        <v/>
      </c>
      <c r="AA28" s="38">
        <f>IF(Q28="","",IFERROR(VALUE(RIGHT(Q28,1)),""))</f>
        <v/>
      </c>
      <c r="AB28" s="38">
        <f>IF(OR(M28="",W28=""),"",IFERROR(ROUND(440*2^((12*(W28+1)+IFERROR(MATCH(R28,{"C","C#","D","D#","E","F","F#","G","G#","A","A#","B"},0)-1,MATCH(R28,{"C","Db","D","Eb","E","F","Gb","G","Ab","A","Bb","B"},0)-1)-69)/12),2),""))</f>
        <v/>
      </c>
      <c r="AC28" s="38">
        <f>IF(OR(N28="",X28=""),"",IFERROR(ROUND(440*2^((12*(X28+1)+IFERROR(MATCH(S28,{"C","C#","D","D#","E","F","F#","G","G#","A","A#","B"},0)-1,MATCH(S28,{"C","Db","D","Eb","E","F","Gb","G","Ab","A","Bb","B"},0)-1)-69)/12),2),""))</f>
        <v/>
      </c>
      <c r="AD28" s="38">
        <f>IF(OR(O28="",Y28=""),"",IFERROR(ROUND(440*2^((12*(Y28+1)+IFERROR(MATCH(T28,{"C","C#","D","D#","E","F","F#","G","G#","A","A#","B"},0)-1,MATCH(T28,{"C","Db","D","Eb","E","F","Gb","G","Ab","A","Bb","B"},0)-1)-69)/12),2),""))</f>
        <v/>
      </c>
      <c r="AE28" s="38">
        <f>IF(OR(P28="",Z28=""),"",IFERROR(ROUND(440*2^((12*(Z28+1)+IFERROR(MATCH(U28,{"C","C#","D","D#","E","F","F#","G","G#","A","A#","B"},0)-1,MATCH(U28,{"C","Db","D","Eb","E","F","Gb","G","Ab","A","Bb","B"},0)-1)-69)/12),2),""))</f>
        <v/>
      </c>
      <c r="AF28" s="38">
        <f>IF(OR(Q28="",AA28=""),"",IFERROR(ROUND(440*2^((12*(AA28+1)+IFERROR(MATCH(V28,{"C","C#","D","D#","E","F","F#","G","G#","A","A#","B"},0)-1,MATCH(V28,{"C","Db","D","Eb","E","F","Gb","G","Ab","A","Bb","B"},0)-1)-69)/12),2),""))</f>
        <v/>
      </c>
      <c r="AG28" s="36" t="n"/>
      <c r="AH28" s="36" t="n"/>
      <c r="AI28" s="36" t="n"/>
      <c r="AJ28" s="36" t="inlineStr">
        <is>
          <t>Low</t>
        </is>
      </c>
      <c r="AK28" s="36" t="inlineStr">
        <is>
          <t>Low</t>
        </is>
      </c>
      <c r="AL28" s="35" t="n"/>
    </row>
    <row r="29">
      <c r="A29" s="35" t="inlineStr">
        <is>
          <t>TEST_003</t>
        </is>
      </c>
      <c r="B29" s="35" t="n">
        <v>7</v>
      </c>
      <c r="C29" s="36" t="n"/>
      <c r="D29" s="36" t="n"/>
      <c r="E29" s="36" t="n"/>
      <c r="F29" s="36" t="n">
        <v>4.53</v>
      </c>
      <c r="G29" s="36" t="n">
        <v>6.16</v>
      </c>
      <c r="H29" s="36" t="n"/>
      <c r="I29" s="36" t="n"/>
      <c r="J29" s="36" t="n"/>
      <c r="K29" s="36" t="n">
        <v>4.7</v>
      </c>
      <c r="L29" s="36" t="n">
        <v>6.75</v>
      </c>
      <c r="M29" s="36" t="n"/>
      <c r="N29" s="36" t="n"/>
      <c r="O29" s="36" t="n"/>
      <c r="P29" s="36" t="inlineStr">
        <is>
          <t>F3</t>
        </is>
      </c>
      <c r="Q29" s="36" t="inlineStr">
        <is>
          <t>F3</t>
        </is>
      </c>
      <c r="R29" s="38">
        <f>IF(M29="","",LEFT(M29,LEN(M29)-1))</f>
        <v/>
      </c>
      <c r="S29" s="38">
        <f>IF(N29="","",LEFT(N29,LEN(N29)-1))</f>
        <v/>
      </c>
      <c r="T29" s="38">
        <f>IF(O29="","",LEFT(O29,LEN(O29)-1))</f>
        <v/>
      </c>
      <c r="U29" s="38">
        <f>IF(P29="","",LEFT(P29,LEN(P29)-1))</f>
        <v/>
      </c>
      <c r="V29" s="38">
        <f>IF(Q29="","",LEFT(Q29,LEN(Q29)-1))</f>
        <v/>
      </c>
      <c r="W29" s="38">
        <f>IF(M29="","",IFERROR(VALUE(RIGHT(M29,1)),""))</f>
        <v/>
      </c>
      <c r="X29" s="38">
        <f>IF(N29="","",IFERROR(VALUE(RIGHT(N29,1)),""))</f>
        <v/>
      </c>
      <c r="Y29" s="38">
        <f>IF(O29="","",IFERROR(VALUE(RIGHT(O29,1)),""))</f>
        <v/>
      </c>
      <c r="Z29" s="38">
        <f>IF(P29="","",IFERROR(VALUE(RIGHT(P29,1)),""))</f>
        <v/>
      </c>
      <c r="AA29" s="38">
        <f>IF(Q29="","",IFERROR(VALUE(RIGHT(Q29,1)),""))</f>
        <v/>
      </c>
      <c r="AB29" s="38">
        <f>IF(OR(M29="",W29=""),"",IFERROR(ROUND(440*2^((12*(W29+1)+IFERROR(MATCH(R29,{"C","C#","D","D#","E","F","F#","G","G#","A","A#","B"},0)-1,MATCH(R29,{"C","Db","D","Eb","E","F","Gb","G","Ab","A","Bb","B"},0)-1)-69)/12),2),""))</f>
        <v/>
      </c>
      <c r="AC29" s="38">
        <f>IF(OR(N29="",X29=""),"",IFERROR(ROUND(440*2^((12*(X29+1)+IFERROR(MATCH(S29,{"C","C#","D","D#","E","F","F#","G","G#","A","A#","B"},0)-1,MATCH(S29,{"C","Db","D","Eb","E","F","Gb","G","Ab","A","Bb","B"},0)-1)-69)/12),2),""))</f>
        <v/>
      </c>
      <c r="AD29" s="38">
        <f>IF(OR(O29="",Y29=""),"",IFERROR(ROUND(440*2^((12*(Y29+1)+IFERROR(MATCH(T29,{"C","C#","D","D#","E","F","F#","G","G#","A","A#","B"},0)-1,MATCH(T29,{"C","Db","D","Eb","E","F","Gb","G","Ab","A","Bb","B"},0)-1)-69)/12),2),""))</f>
        <v/>
      </c>
      <c r="AE29" s="38">
        <f>IF(OR(P29="",Z29=""),"",IFERROR(ROUND(440*2^((12*(Z29+1)+IFERROR(MATCH(U29,{"C","C#","D","D#","E","F","F#","G","G#","A","A#","B"},0)-1,MATCH(U29,{"C","Db","D","Eb","E","F","Gb","G","Ab","A","Bb","B"},0)-1)-69)/12),2),""))</f>
        <v/>
      </c>
      <c r="AF29" s="38">
        <f>IF(OR(Q29="",AA29=""),"",IFERROR(ROUND(440*2^((12*(AA29+1)+IFERROR(MATCH(V29,{"C","C#","D","D#","E","F","F#","G","G#","A","A#","B"},0)-1,MATCH(V29,{"C","Db","D","Eb","E","F","Gb","G","Ab","A","Bb","B"},0)-1)-69)/12),2),""))</f>
        <v/>
      </c>
      <c r="AG29" s="36" t="n"/>
      <c r="AH29" s="36" t="n"/>
      <c r="AI29" s="36" t="n"/>
      <c r="AJ29" s="36" t="inlineStr">
        <is>
          <t>Low</t>
        </is>
      </c>
      <c r="AK29" s="36" t="inlineStr">
        <is>
          <t>Low</t>
        </is>
      </c>
      <c r="AL29" s="35" t="n"/>
    </row>
    <row r="30">
      <c r="A30" s="35" t="inlineStr">
        <is>
          <t>TEST_003</t>
        </is>
      </c>
      <c r="B30" s="35" t="n">
        <v>8</v>
      </c>
      <c r="C30" s="36" t="n"/>
      <c r="D30" s="36" t="n"/>
      <c r="E30" s="36" t="n"/>
      <c r="F30" s="36" t="n">
        <v>6.22</v>
      </c>
      <c r="G30" s="36" t="n">
        <v>7</v>
      </c>
      <c r="H30" s="36" t="n"/>
      <c r="I30" s="36" t="n"/>
      <c r="J30" s="36" t="n"/>
      <c r="K30" s="36" t="n">
        <v>7.05</v>
      </c>
      <c r="L30" s="36" t="n">
        <v>7.44</v>
      </c>
      <c r="M30" s="36" t="n"/>
      <c r="N30" s="36" t="n"/>
      <c r="O30" s="36" t="n"/>
      <c r="P30" s="36" t="inlineStr">
        <is>
          <t>F3</t>
        </is>
      </c>
      <c r="Q30" s="36" t="inlineStr">
        <is>
          <t>F3</t>
        </is>
      </c>
      <c r="R30" s="38">
        <f>IF(M30="","",LEFT(M30,LEN(M30)-1))</f>
        <v/>
      </c>
      <c r="S30" s="38">
        <f>IF(N30="","",LEFT(N30,LEN(N30)-1))</f>
        <v/>
      </c>
      <c r="T30" s="38">
        <f>IF(O30="","",LEFT(O30,LEN(O30)-1))</f>
        <v/>
      </c>
      <c r="U30" s="38">
        <f>IF(P30="","",LEFT(P30,LEN(P30)-1))</f>
        <v/>
      </c>
      <c r="V30" s="38">
        <f>IF(Q30="","",LEFT(Q30,LEN(Q30)-1))</f>
        <v/>
      </c>
      <c r="W30" s="38">
        <f>IF(M30="","",IFERROR(VALUE(RIGHT(M30,1)),""))</f>
        <v/>
      </c>
      <c r="X30" s="38">
        <f>IF(N30="","",IFERROR(VALUE(RIGHT(N30,1)),""))</f>
        <v/>
      </c>
      <c r="Y30" s="38">
        <f>IF(O30="","",IFERROR(VALUE(RIGHT(O30,1)),""))</f>
        <v/>
      </c>
      <c r="Z30" s="38">
        <f>IF(P30="","",IFERROR(VALUE(RIGHT(P30,1)),""))</f>
        <v/>
      </c>
      <c r="AA30" s="38">
        <f>IF(Q30="","",IFERROR(VALUE(RIGHT(Q30,1)),""))</f>
        <v/>
      </c>
      <c r="AB30" s="38">
        <f>IF(OR(M30="",W30=""),"",IFERROR(ROUND(440*2^((12*(W30+1)+IFERROR(MATCH(R30,{"C","C#","D","D#","E","F","F#","G","G#","A","A#","B"},0)-1,MATCH(R30,{"C","Db","D","Eb","E","F","Gb","G","Ab","A","Bb","B"},0)-1)-69)/12),2),""))</f>
        <v/>
      </c>
      <c r="AC30" s="38">
        <f>IF(OR(N30="",X30=""),"",IFERROR(ROUND(440*2^((12*(X30+1)+IFERROR(MATCH(S30,{"C","C#","D","D#","E","F","F#","G","G#","A","A#","B"},0)-1,MATCH(S30,{"C","Db","D","Eb","E","F","Gb","G","Ab","A","Bb","B"},0)-1)-69)/12),2),""))</f>
        <v/>
      </c>
      <c r="AD30" s="38">
        <f>IF(OR(O30="",Y30=""),"",IFERROR(ROUND(440*2^((12*(Y30+1)+IFERROR(MATCH(T30,{"C","C#","D","D#","E","F","F#","G","G#","A","A#","B"},0)-1,MATCH(T30,{"C","Db","D","Eb","E","F","Gb","G","Ab","A","Bb","B"},0)-1)-69)/12),2),""))</f>
        <v/>
      </c>
      <c r="AE30" s="38">
        <f>IF(OR(P30="",Z30=""),"",IFERROR(ROUND(440*2^((12*(Z30+1)+IFERROR(MATCH(U30,{"C","C#","D","D#","E","F","F#","G","G#","A","A#","B"},0)-1,MATCH(U30,{"C","Db","D","Eb","E","F","Gb","G","Ab","A","Bb","B"},0)-1)-69)/12),2),""))</f>
        <v/>
      </c>
      <c r="AF30" s="38">
        <f>IF(OR(Q30="",AA30=""),"",IFERROR(ROUND(440*2^((12*(AA30+1)+IFERROR(MATCH(V30,{"C","C#","D","D#","E","F","F#","G","G#","A","A#","B"},0)-1,MATCH(V30,{"C","Db","D","Eb","E","F","Gb","G","Ab","A","Bb","B"},0)-1)-69)/12),2),""))</f>
        <v/>
      </c>
      <c r="AG30" s="36" t="n"/>
      <c r="AH30" s="36" t="n"/>
      <c r="AI30" s="36" t="n"/>
      <c r="AJ30" s="36" t="inlineStr">
        <is>
          <t>Low</t>
        </is>
      </c>
      <c r="AK30" s="36" t="inlineStr">
        <is>
          <t>Low</t>
        </is>
      </c>
      <c r="AL30" s="35" t="n"/>
    </row>
    <row r="31">
      <c r="A31" s="35" t="inlineStr">
        <is>
          <t>TEST_003</t>
        </is>
      </c>
      <c r="B31" s="35" t="n">
        <v>9</v>
      </c>
      <c r="C31" s="36" t="n"/>
      <c r="D31" s="36" t="n"/>
      <c r="E31" s="36" t="n"/>
      <c r="F31" s="36" t="n">
        <v>8.23</v>
      </c>
      <c r="G31" s="36" t="n">
        <v>8.960000000000001</v>
      </c>
      <c r="H31" s="36" t="n"/>
      <c r="I31" s="36" t="n"/>
      <c r="J31" s="36" t="n"/>
      <c r="K31" s="36" t="n">
        <v>8.42</v>
      </c>
      <c r="L31" s="36" t="n">
        <v>9.279999999999999</v>
      </c>
      <c r="M31" s="36" t="n"/>
      <c r="N31" s="36" t="n"/>
      <c r="O31" s="36" t="n"/>
      <c r="P31" s="36" t="inlineStr">
        <is>
          <t>A3</t>
        </is>
      </c>
      <c r="Q31" s="36" t="inlineStr">
        <is>
          <t>A#3</t>
        </is>
      </c>
      <c r="R31" s="38">
        <f>IF(M31="","",LEFT(M31,LEN(M31)-1))</f>
        <v/>
      </c>
      <c r="S31" s="38">
        <f>IF(N31="","",LEFT(N31,LEN(N31)-1))</f>
        <v/>
      </c>
      <c r="T31" s="38">
        <f>IF(O31="","",LEFT(O31,LEN(O31)-1))</f>
        <v/>
      </c>
      <c r="U31" s="38">
        <f>IF(P31="","",LEFT(P31,LEN(P31)-1))</f>
        <v/>
      </c>
      <c r="V31" s="38">
        <f>IF(Q31="","",LEFT(Q31,LEN(Q31)-1))</f>
        <v/>
      </c>
      <c r="W31" s="38">
        <f>IF(M31="","",IFERROR(VALUE(RIGHT(M31,1)),""))</f>
        <v/>
      </c>
      <c r="X31" s="38">
        <f>IF(N31="","",IFERROR(VALUE(RIGHT(N31,1)),""))</f>
        <v/>
      </c>
      <c r="Y31" s="38">
        <f>IF(O31="","",IFERROR(VALUE(RIGHT(O31,1)),""))</f>
        <v/>
      </c>
      <c r="Z31" s="38">
        <f>IF(P31="","",IFERROR(VALUE(RIGHT(P31,1)),""))</f>
        <v/>
      </c>
      <c r="AA31" s="38">
        <f>IF(Q31="","",IFERROR(VALUE(RIGHT(Q31,1)),""))</f>
        <v/>
      </c>
      <c r="AB31" s="38">
        <f>IF(OR(M31="",W31=""),"",IFERROR(ROUND(440*2^((12*(W31+1)+IFERROR(MATCH(R31,{"C","C#","D","D#","E","F","F#","G","G#","A","A#","B"},0)-1,MATCH(R31,{"C","Db","D","Eb","E","F","Gb","G","Ab","A","Bb","B"},0)-1)-69)/12),2),""))</f>
        <v/>
      </c>
      <c r="AC31" s="38">
        <f>IF(OR(N31="",X31=""),"",IFERROR(ROUND(440*2^((12*(X31+1)+IFERROR(MATCH(S31,{"C","C#","D","D#","E","F","F#","G","G#","A","A#","B"},0)-1,MATCH(S31,{"C","Db","D","Eb","E","F","Gb","G","Ab","A","Bb","B"},0)-1)-69)/12),2),""))</f>
        <v/>
      </c>
      <c r="AD31" s="38">
        <f>IF(OR(O31="",Y31=""),"",IFERROR(ROUND(440*2^((12*(Y31+1)+IFERROR(MATCH(T31,{"C","C#","D","D#","E","F","F#","G","G#","A","A#","B"},0)-1,MATCH(T31,{"C","Db","D","Eb","E","F","Gb","G","Ab","A","Bb","B"},0)-1)-69)/12),2),""))</f>
        <v/>
      </c>
      <c r="AE31" s="38">
        <f>IF(OR(P31="",Z31=""),"",IFERROR(ROUND(440*2^((12*(Z31+1)+IFERROR(MATCH(U31,{"C","C#","D","D#","E","F","F#","G","G#","A","A#","B"},0)-1,MATCH(U31,{"C","Db","D","Eb","E","F","Gb","G","Ab","A","Bb","B"},0)-1)-69)/12),2),""))</f>
        <v/>
      </c>
      <c r="AF31" s="38">
        <f>IF(OR(Q31="",AA31=""),"",IFERROR(ROUND(440*2^((12*(AA31+1)+IFERROR(MATCH(V31,{"C","C#","D","D#","E","F","F#","G","G#","A","A#","B"},0)-1,MATCH(V31,{"C","Db","D","Eb","E","F","Gb","G","Ab","A","Bb","B"},0)-1)-69)/12),2),""))</f>
        <v/>
      </c>
      <c r="AG31" s="36" t="n"/>
      <c r="AH31" s="36" t="n"/>
      <c r="AI31" s="36" t="n"/>
      <c r="AJ31" s="36" t="inlineStr">
        <is>
          <t>Low</t>
        </is>
      </c>
      <c r="AK31" s="36" t="inlineStr">
        <is>
          <t>Low</t>
        </is>
      </c>
      <c r="AL31" s="35" t="n"/>
    </row>
    <row r="32">
      <c r="A32" s="35" t="inlineStr">
        <is>
          <t>TEST_003</t>
        </is>
      </c>
      <c r="B32" s="35" t="n">
        <v>10</v>
      </c>
      <c r="C32" s="36" t="n"/>
      <c r="D32" s="36" t="n"/>
      <c r="E32" s="36" t="n"/>
      <c r="F32" s="36" t="n">
        <v>8.52</v>
      </c>
      <c r="G32" s="36" t="n">
        <v>9.94</v>
      </c>
      <c r="H32" s="36" t="n"/>
      <c r="I32" s="36" t="n"/>
      <c r="J32" s="36" t="n"/>
      <c r="K32" s="36" t="n">
        <v>8.67</v>
      </c>
      <c r="L32" s="36" t="n">
        <v>10.74</v>
      </c>
      <c r="M32" s="36" t="n"/>
      <c r="N32" s="36" t="n"/>
      <c r="O32" s="36" t="n"/>
      <c r="P32" s="36" t="inlineStr">
        <is>
          <t>F3</t>
        </is>
      </c>
      <c r="Q32" s="36" t="inlineStr">
        <is>
          <t>G3</t>
        </is>
      </c>
      <c r="R32" s="38">
        <f>IF(M32="","",LEFT(M32,LEN(M32)-1))</f>
        <v/>
      </c>
      <c r="S32" s="38">
        <f>IF(N32="","",LEFT(N32,LEN(N32)-1))</f>
        <v/>
      </c>
      <c r="T32" s="38">
        <f>IF(O32="","",LEFT(O32,LEN(O32)-1))</f>
        <v/>
      </c>
      <c r="U32" s="38">
        <f>IF(P32="","",LEFT(P32,LEN(P32)-1))</f>
        <v/>
      </c>
      <c r="V32" s="38">
        <f>IF(Q32="","",LEFT(Q32,LEN(Q32)-1))</f>
        <v/>
      </c>
      <c r="W32" s="38">
        <f>IF(M32="","",IFERROR(VALUE(RIGHT(M32,1)),""))</f>
        <v/>
      </c>
      <c r="X32" s="38">
        <f>IF(N32="","",IFERROR(VALUE(RIGHT(N32,1)),""))</f>
        <v/>
      </c>
      <c r="Y32" s="38">
        <f>IF(O32="","",IFERROR(VALUE(RIGHT(O32,1)),""))</f>
        <v/>
      </c>
      <c r="Z32" s="38">
        <f>IF(P32="","",IFERROR(VALUE(RIGHT(P32,1)),""))</f>
        <v/>
      </c>
      <c r="AA32" s="38">
        <f>IF(Q32="","",IFERROR(VALUE(RIGHT(Q32,1)),""))</f>
        <v/>
      </c>
      <c r="AB32" s="38">
        <f>IF(OR(M32="",W32=""),"",IFERROR(ROUND(440*2^((12*(W32+1)+IFERROR(MATCH(R32,{"C","C#","D","D#","E","F","F#","G","G#","A","A#","B"},0)-1,MATCH(R32,{"C","Db","D","Eb","E","F","Gb","G","Ab","A","Bb","B"},0)-1)-69)/12),2),""))</f>
        <v/>
      </c>
      <c r="AC32" s="38">
        <f>IF(OR(N32="",X32=""),"",IFERROR(ROUND(440*2^((12*(X32+1)+IFERROR(MATCH(S32,{"C","C#","D","D#","E","F","F#","G","G#","A","A#","B"},0)-1,MATCH(S32,{"C","Db","D","Eb","E","F","Gb","G","Ab","A","Bb","B"},0)-1)-69)/12),2),""))</f>
        <v/>
      </c>
      <c r="AD32" s="38">
        <f>IF(OR(O32="",Y32=""),"",IFERROR(ROUND(440*2^((12*(Y32+1)+IFERROR(MATCH(T32,{"C","C#","D","D#","E","F","F#","G","G#","A","A#","B"},0)-1,MATCH(T32,{"C","Db","D","Eb","E","F","Gb","G","Ab","A","Bb","B"},0)-1)-69)/12),2),""))</f>
        <v/>
      </c>
      <c r="AE32" s="38">
        <f>IF(OR(P32="",Z32=""),"",IFERROR(ROUND(440*2^((12*(Z32+1)+IFERROR(MATCH(U32,{"C","C#","D","D#","E","F","F#","G","G#","A","A#","B"},0)-1,MATCH(U32,{"C","Db","D","Eb","E","F","Gb","G","Ab","A","Bb","B"},0)-1)-69)/12),2),""))</f>
        <v/>
      </c>
      <c r="AF32" s="38">
        <f>IF(OR(Q32="",AA32=""),"",IFERROR(ROUND(440*2^((12*(AA32+1)+IFERROR(MATCH(V32,{"C","C#","D","D#","E","F","F#","G","G#","A","A#","B"},0)-1,MATCH(V32,{"C","Db","D","Eb","E","F","Gb","G","Ab","A","Bb","B"},0)-1)-69)/12),2),""))</f>
        <v/>
      </c>
      <c r="AG32" s="36" t="n"/>
      <c r="AH32" s="36" t="n"/>
      <c r="AI32" s="36" t="n"/>
      <c r="AJ32" s="36" t="inlineStr">
        <is>
          <t>Low</t>
        </is>
      </c>
      <c r="AK32" s="36" t="inlineStr">
        <is>
          <t>Low</t>
        </is>
      </c>
      <c r="AL32" s="35" t="n"/>
    </row>
    <row r="33">
      <c r="A33" s="35" t="inlineStr">
        <is>
          <t>TEST_004</t>
        </is>
      </c>
      <c r="B33" s="35" t="n">
        <v>1</v>
      </c>
      <c r="C33" s="36" t="n"/>
      <c r="D33" s="36" t="n"/>
      <c r="E33" s="36" t="n"/>
      <c r="F33" s="36" t="n">
        <v>0.03</v>
      </c>
      <c r="G33" s="36" t="n">
        <v>1.95</v>
      </c>
      <c r="H33" s="36" t="n"/>
      <c r="I33" s="36" t="n"/>
      <c r="J33" s="36" t="n"/>
      <c r="K33" s="36" t="n">
        <v>0.51</v>
      </c>
      <c r="L33" s="36" t="n">
        <v>2.14</v>
      </c>
      <c r="M33" s="36" t="n"/>
      <c r="N33" s="36" t="inlineStr">
        <is>
          <t>N/A</t>
        </is>
      </c>
      <c r="O33" s="36" t="inlineStr">
        <is>
          <t>N/A</t>
        </is>
      </c>
      <c r="P33" s="36" t="inlineStr">
        <is>
          <t>G#3</t>
        </is>
      </c>
      <c r="Q33" s="36" t="inlineStr">
        <is>
          <t>F#3</t>
        </is>
      </c>
      <c r="R33" s="38">
        <f>IF(M33="","",LEFT(M33,LEN(M33)-1))</f>
        <v/>
      </c>
      <c r="S33" s="38">
        <f>IF(N33="","",LEFT(N33,LEN(N33)-1))</f>
        <v/>
      </c>
      <c r="T33" s="38">
        <f>IF(O33="","",LEFT(O33,LEN(O33)-1))</f>
        <v/>
      </c>
      <c r="U33" s="38">
        <f>IF(P33="","",LEFT(P33,LEN(P33)-1))</f>
        <v/>
      </c>
      <c r="V33" s="38">
        <f>IF(Q33="","",LEFT(Q33,LEN(Q33)-1))</f>
        <v/>
      </c>
      <c r="W33" s="38">
        <f>IF(M33="","",IFERROR(VALUE(RIGHT(M33,1)),""))</f>
        <v/>
      </c>
      <c r="X33" s="38">
        <f>IF(N33="","",IFERROR(VALUE(RIGHT(N33,1)),""))</f>
        <v/>
      </c>
      <c r="Y33" s="38">
        <f>IF(O33="","",IFERROR(VALUE(RIGHT(O33,1)),""))</f>
        <v/>
      </c>
      <c r="Z33" s="38">
        <f>IF(P33="","",IFERROR(VALUE(RIGHT(P33,1)),""))</f>
        <v/>
      </c>
      <c r="AA33" s="38">
        <f>IF(Q33="","",IFERROR(VALUE(RIGHT(Q33,1)),""))</f>
        <v/>
      </c>
      <c r="AB33" s="38">
        <f>IF(OR(M33="",W33=""),"",IFERROR(ROUND(440*2^((12*(W33+1)+IFERROR(MATCH(R33,{"C","C#","D","D#","E","F","F#","G","G#","A","A#","B"},0)-1,MATCH(R33,{"C","Db","D","Eb","E","F","Gb","G","Ab","A","Bb","B"},0)-1)-69)/12),2),""))</f>
        <v/>
      </c>
      <c r="AC33" s="38">
        <f>IF(OR(N33="",X33=""),"",IFERROR(ROUND(440*2^((12*(X33+1)+IFERROR(MATCH(S33,{"C","C#","D","D#","E","F","F#","G","G#","A","A#","B"},0)-1,MATCH(S33,{"C","Db","D","Eb","E","F","Gb","G","Ab","A","Bb","B"},0)-1)-69)/12),2),""))</f>
        <v/>
      </c>
      <c r="AD33" s="38">
        <f>IF(OR(O33="",Y33=""),"",IFERROR(ROUND(440*2^((12*(Y33+1)+IFERROR(MATCH(T33,{"C","C#","D","D#","E","F","F#","G","G#","A","A#","B"},0)-1,MATCH(T33,{"C","Db","D","Eb","E","F","Gb","G","Ab","A","Bb","B"},0)-1)-69)/12),2),""))</f>
        <v/>
      </c>
      <c r="AE33" s="38">
        <f>IF(OR(P33="",Z33=""),"",IFERROR(ROUND(440*2^((12*(Z33+1)+IFERROR(MATCH(U33,{"C","C#","D","D#","E","F","F#","G","G#","A","A#","B"},0)-1,MATCH(U33,{"C","Db","D","Eb","E","F","Gb","G","Ab","A","Bb","B"},0)-1)-69)/12),2),""))</f>
        <v/>
      </c>
      <c r="AF33" s="38">
        <f>IF(OR(Q33="",AA33=""),"",IFERROR(ROUND(440*2^((12*(AA33+1)+IFERROR(MATCH(V33,{"C","C#","D","D#","E","F","F#","G","G#","A","A#","B"},0)-1,MATCH(V33,{"C","Db","D","Eb","E","F","Gb","G","Ab","A","Bb","B"},0)-1)-69)/12),2),""))</f>
        <v/>
      </c>
      <c r="AG33" s="36" t="n"/>
      <c r="AH33" s="36" t="n"/>
      <c r="AI33" s="36" t="n"/>
      <c r="AJ33" s="36" t="inlineStr">
        <is>
          <t>Low</t>
        </is>
      </c>
      <c r="AK33" s="36" t="inlineStr">
        <is>
          <t>Low</t>
        </is>
      </c>
      <c r="AL3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34">
      <c r="A34" s="35" t="inlineStr">
        <is>
          <t>TEST_004</t>
        </is>
      </c>
      <c r="B34" s="35" t="n">
        <v>2</v>
      </c>
      <c r="C34" s="36" t="n"/>
      <c r="D34" s="36" t="n"/>
      <c r="E34" s="36" t="n"/>
      <c r="F34" s="36" t="n">
        <v>0.51</v>
      </c>
      <c r="G34" s="36" t="n">
        <v>2.15</v>
      </c>
      <c r="H34" s="36" t="n"/>
      <c r="I34" s="36" t="n"/>
      <c r="J34" s="36" t="n"/>
      <c r="K34" s="36" t="n">
        <v>0.71</v>
      </c>
      <c r="L34" s="36" t="n">
        <v>2.82</v>
      </c>
      <c r="M34" s="36" t="n"/>
      <c r="N34" s="36" t="n"/>
      <c r="O34" s="36" t="n"/>
      <c r="P34" s="36" t="inlineStr">
        <is>
          <t>A#4</t>
        </is>
      </c>
      <c r="Q34" s="36" t="inlineStr">
        <is>
          <t>G#3</t>
        </is>
      </c>
      <c r="R34" s="38">
        <f>IF(M34="","",LEFT(M34,LEN(M34)-1))</f>
        <v/>
      </c>
      <c r="S34" s="38">
        <f>IF(N34="","",LEFT(N34,LEN(N34)-1))</f>
        <v/>
      </c>
      <c r="T34" s="38">
        <f>IF(O34="","",LEFT(O34,LEN(O34)-1))</f>
        <v/>
      </c>
      <c r="U34" s="38">
        <f>IF(P34="","",LEFT(P34,LEN(P34)-1))</f>
        <v/>
      </c>
      <c r="V34" s="38">
        <f>IF(Q34="","",LEFT(Q34,LEN(Q34)-1))</f>
        <v/>
      </c>
      <c r="W34" s="38">
        <f>IF(M34="","",IFERROR(VALUE(RIGHT(M34,1)),""))</f>
        <v/>
      </c>
      <c r="X34" s="38">
        <f>IF(N34="","",IFERROR(VALUE(RIGHT(N34,1)),""))</f>
        <v/>
      </c>
      <c r="Y34" s="38">
        <f>IF(O34="","",IFERROR(VALUE(RIGHT(O34,1)),""))</f>
        <v/>
      </c>
      <c r="Z34" s="38">
        <f>IF(P34="","",IFERROR(VALUE(RIGHT(P34,1)),""))</f>
        <v/>
      </c>
      <c r="AA34" s="38">
        <f>IF(Q34="","",IFERROR(VALUE(RIGHT(Q34,1)),""))</f>
        <v/>
      </c>
      <c r="AB34" s="38">
        <f>IF(OR(M34="",W34=""),"",IFERROR(ROUND(440*2^((12*(W34+1)+IFERROR(MATCH(R34,{"C","C#","D","D#","E","F","F#","G","G#","A","A#","B"},0)-1,MATCH(R34,{"C","Db","D","Eb","E","F","Gb","G","Ab","A","Bb","B"},0)-1)-69)/12),2),""))</f>
        <v/>
      </c>
      <c r="AC34" s="38">
        <f>IF(OR(N34="",X34=""),"",IFERROR(ROUND(440*2^((12*(X34+1)+IFERROR(MATCH(S34,{"C","C#","D","D#","E","F","F#","G","G#","A","A#","B"},0)-1,MATCH(S34,{"C","Db","D","Eb","E","F","Gb","G","Ab","A","Bb","B"},0)-1)-69)/12),2),""))</f>
        <v/>
      </c>
      <c r="AD34" s="38">
        <f>IF(OR(O34="",Y34=""),"",IFERROR(ROUND(440*2^((12*(Y34+1)+IFERROR(MATCH(T34,{"C","C#","D","D#","E","F","F#","G","G#","A","A#","B"},0)-1,MATCH(T34,{"C","Db","D","Eb","E","F","Gb","G","Ab","A","Bb","B"},0)-1)-69)/12),2),""))</f>
        <v/>
      </c>
      <c r="AE34" s="38">
        <f>IF(OR(P34="",Z34=""),"",IFERROR(ROUND(440*2^((12*(Z34+1)+IFERROR(MATCH(U34,{"C","C#","D","D#","E","F","F#","G","G#","A","A#","B"},0)-1,MATCH(U34,{"C","Db","D","Eb","E","F","Gb","G","Ab","A","Bb","B"},0)-1)-69)/12),2),""))</f>
        <v/>
      </c>
      <c r="AF34" s="38">
        <f>IF(OR(Q34="",AA34=""),"",IFERROR(ROUND(440*2^((12*(AA34+1)+IFERROR(MATCH(V34,{"C","C#","D","D#","E","F","F#","G","G#","A","A#","B"},0)-1,MATCH(V34,{"C","Db","D","Eb","E","F","Gb","G","Ab","A","Bb","B"},0)-1)-69)/12),2),""))</f>
        <v/>
      </c>
      <c r="AG34" s="36" t="n"/>
      <c r="AH34" s="36" t="n"/>
      <c r="AI34" s="36" t="n"/>
      <c r="AJ34" s="36" t="inlineStr">
        <is>
          <t>Low</t>
        </is>
      </c>
      <c r="AK34" s="36" t="inlineStr">
        <is>
          <t>High</t>
        </is>
      </c>
      <c r="AL34" s="35" t="n"/>
    </row>
    <row r="35">
      <c r="A35" s="35" t="inlineStr">
        <is>
          <t>TEST_004</t>
        </is>
      </c>
      <c r="B35" s="35" t="n">
        <v>3</v>
      </c>
      <c r="C35" s="36" t="n"/>
      <c r="D35" s="36" t="n"/>
      <c r="E35" s="36" t="n"/>
      <c r="F35" s="36" t="n">
        <v>8.789999999999999</v>
      </c>
      <c r="G35" s="36" t="n">
        <v>3.08</v>
      </c>
      <c r="H35" s="36" t="n"/>
      <c r="I35" s="36" t="n"/>
      <c r="J35" s="36" t="n"/>
      <c r="K35" s="36" t="n">
        <v>8.91</v>
      </c>
      <c r="L35" s="36" t="n">
        <v>3.48</v>
      </c>
      <c r="M35" s="36" t="n"/>
      <c r="N35" s="36" t="n"/>
      <c r="O35" s="36" t="n"/>
      <c r="P35" s="36" t="inlineStr">
        <is>
          <t>G#3</t>
        </is>
      </c>
      <c r="Q35" s="36" t="inlineStr">
        <is>
          <t>B3</t>
        </is>
      </c>
      <c r="R35" s="38">
        <f>IF(M35="","",LEFT(M35,LEN(M35)-1))</f>
        <v/>
      </c>
      <c r="S35" s="38">
        <f>IF(N35="","",LEFT(N35,LEN(N35)-1))</f>
        <v/>
      </c>
      <c r="T35" s="38">
        <f>IF(O35="","",LEFT(O35,LEN(O35)-1))</f>
        <v/>
      </c>
      <c r="U35" s="38">
        <f>IF(P35="","",LEFT(P35,LEN(P35)-1))</f>
        <v/>
      </c>
      <c r="V35" s="38">
        <f>IF(Q35="","",LEFT(Q35,LEN(Q35)-1))</f>
        <v/>
      </c>
      <c r="W35" s="38">
        <f>IF(M35="","",IFERROR(VALUE(RIGHT(M35,1)),""))</f>
        <v/>
      </c>
      <c r="X35" s="38">
        <f>IF(N35="","",IFERROR(VALUE(RIGHT(N35,1)),""))</f>
        <v/>
      </c>
      <c r="Y35" s="38">
        <f>IF(O35="","",IFERROR(VALUE(RIGHT(O35,1)),""))</f>
        <v/>
      </c>
      <c r="Z35" s="38">
        <f>IF(P35="","",IFERROR(VALUE(RIGHT(P35,1)),""))</f>
        <v/>
      </c>
      <c r="AA35" s="38">
        <f>IF(Q35="","",IFERROR(VALUE(RIGHT(Q35,1)),""))</f>
        <v/>
      </c>
      <c r="AB35" s="38">
        <f>IF(OR(M35="",W35=""),"",IFERROR(ROUND(440*2^((12*(W35+1)+IFERROR(MATCH(R35,{"C","C#","D","D#","E","F","F#","G","G#","A","A#","B"},0)-1,MATCH(R35,{"C","Db","D","Eb","E","F","Gb","G","Ab","A","Bb","B"},0)-1)-69)/12),2),""))</f>
        <v/>
      </c>
      <c r="AC35" s="38">
        <f>IF(OR(N35="",X35=""),"",IFERROR(ROUND(440*2^((12*(X35+1)+IFERROR(MATCH(S35,{"C","C#","D","D#","E","F","F#","G","G#","A","A#","B"},0)-1,MATCH(S35,{"C","Db","D","Eb","E","F","Gb","G","Ab","A","Bb","B"},0)-1)-69)/12),2),""))</f>
        <v/>
      </c>
      <c r="AD35" s="38">
        <f>IF(OR(O35="",Y35=""),"",IFERROR(ROUND(440*2^((12*(Y35+1)+IFERROR(MATCH(T35,{"C","C#","D","D#","E","F","F#","G","G#","A","A#","B"},0)-1,MATCH(T35,{"C","Db","D","Eb","E","F","Gb","G","Ab","A","Bb","B"},0)-1)-69)/12),2),""))</f>
        <v/>
      </c>
      <c r="AE35" s="38">
        <f>IF(OR(P35="",Z35=""),"",IFERROR(ROUND(440*2^((12*(Z35+1)+IFERROR(MATCH(U35,{"C","C#","D","D#","E","F","F#","G","G#","A","A#","B"},0)-1,MATCH(U35,{"C","Db","D","Eb","E","F","Gb","G","Ab","A","Bb","B"},0)-1)-69)/12),2),""))</f>
        <v/>
      </c>
      <c r="AF35" s="38">
        <f>IF(OR(Q35="",AA35=""),"",IFERROR(ROUND(440*2^((12*(AA35+1)+IFERROR(MATCH(V35,{"C","C#","D","D#","E","F","F#","G","G#","A","A#","B"},0)-1,MATCH(V35,{"C","Db","D","Eb","E","F","Gb","G","Ab","A","Bb","B"},0)-1)-69)/12),2),""))</f>
        <v/>
      </c>
      <c r="AG35" s="36" t="n"/>
      <c r="AH35" s="36" t="n"/>
      <c r="AI35" s="36" t="n"/>
      <c r="AJ35" s="36" t="inlineStr">
        <is>
          <t>Low</t>
        </is>
      </c>
      <c r="AK35" s="36" t="inlineStr">
        <is>
          <t>Low</t>
        </is>
      </c>
      <c r="AL35" s="35" t="n"/>
    </row>
    <row r="36">
      <c r="A36" s="35" t="inlineStr">
        <is>
          <t>TEST_004</t>
        </is>
      </c>
      <c r="B36" s="35" t="n">
        <v>4</v>
      </c>
      <c r="C36" s="36" t="n"/>
      <c r="D36" s="36" t="n"/>
      <c r="E36" s="36" t="n"/>
      <c r="F36" s="36" t="n">
        <v>8.91</v>
      </c>
      <c r="G36" s="36" t="n">
        <v>4.92</v>
      </c>
      <c r="H36" s="36" t="n"/>
      <c r="I36" s="36" t="n"/>
      <c r="J36" s="36" t="n"/>
      <c r="K36" s="36" t="n">
        <v>9.039999999999999</v>
      </c>
      <c r="L36" s="36" t="n">
        <v>6.22</v>
      </c>
      <c r="M36" s="36" t="n"/>
      <c r="N36" s="36" t="n"/>
      <c r="O36" s="36" t="n"/>
      <c r="P36" s="36" t="inlineStr">
        <is>
          <t>F#3</t>
        </is>
      </c>
      <c r="Q36" s="36" t="inlineStr">
        <is>
          <t>A2</t>
        </is>
      </c>
      <c r="R36" s="38">
        <f>IF(M36="","",LEFT(M36,LEN(M36)-1))</f>
        <v/>
      </c>
      <c r="S36" s="38">
        <f>IF(N36="","",LEFT(N36,LEN(N36)-1))</f>
        <v/>
      </c>
      <c r="T36" s="38">
        <f>IF(O36="","",LEFT(O36,LEN(O36)-1))</f>
        <v/>
      </c>
      <c r="U36" s="38">
        <f>IF(P36="","",LEFT(P36,LEN(P36)-1))</f>
        <v/>
      </c>
      <c r="V36" s="38">
        <f>IF(Q36="","",LEFT(Q36,LEN(Q36)-1))</f>
        <v/>
      </c>
      <c r="W36" s="38">
        <f>IF(M36="","",IFERROR(VALUE(RIGHT(M36,1)),""))</f>
        <v/>
      </c>
      <c r="X36" s="38">
        <f>IF(N36="","",IFERROR(VALUE(RIGHT(N36,1)),""))</f>
        <v/>
      </c>
      <c r="Y36" s="38">
        <f>IF(O36="","",IFERROR(VALUE(RIGHT(O36,1)),""))</f>
        <v/>
      </c>
      <c r="Z36" s="38">
        <f>IF(P36="","",IFERROR(VALUE(RIGHT(P36,1)),""))</f>
        <v/>
      </c>
      <c r="AA36" s="38">
        <f>IF(Q36="","",IFERROR(VALUE(RIGHT(Q36,1)),""))</f>
        <v/>
      </c>
      <c r="AB36" s="38">
        <f>IF(OR(M36="",W36=""),"",IFERROR(ROUND(440*2^((12*(W36+1)+IFERROR(MATCH(R36,{"C","C#","D","D#","E","F","F#","G","G#","A","A#","B"},0)-1,MATCH(R36,{"C","Db","D","Eb","E","F","Gb","G","Ab","A","Bb","B"},0)-1)-69)/12),2),""))</f>
        <v/>
      </c>
      <c r="AC36" s="38">
        <f>IF(OR(N36="",X36=""),"",IFERROR(ROUND(440*2^((12*(X36+1)+IFERROR(MATCH(S36,{"C","C#","D","D#","E","F","F#","G","G#","A","A#","B"},0)-1,MATCH(S36,{"C","Db","D","Eb","E","F","Gb","G","Ab","A","Bb","B"},0)-1)-69)/12),2),""))</f>
        <v/>
      </c>
      <c r="AD36" s="38">
        <f>IF(OR(O36="",Y36=""),"",IFERROR(ROUND(440*2^((12*(Y36+1)+IFERROR(MATCH(T36,{"C","C#","D","D#","E","F","F#","G","G#","A","A#","B"},0)-1,MATCH(T36,{"C","Db","D","Eb","E","F","Gb","G","Ab","A","Bb","B"},0)-1)-69)/12),2),""))</f>
        <v/>
      </c>
      <c r="AE36" s="38">
        <f>IF(OR(P36="",Z36=""),"",IFERROR(ROUND(440*2^((12*(Z36+1)+IFERROR(MATCH(U36,{"C","C#","D","D#","E","F","F#","G","G#","A","A#","B"},0)-1,MATCH(U36,{"C","Db","D","Eb","E","F","Gb","G","Ab","A","Bb","B"},0)-1)-69)/12),2),""))</f>
        <v/>
      </c>
      <c r="AF36" s="38">
        <f>IF(OR(Q36="",AA36=""),"",IFERROR(ROUND(440*2^((12*(AA36+1)+IFERROR(MATCH(V36,{"C","C#","D","D#","E","F","F#","G","G#","A","A#","B"},0)-1,MATCH(V36,{"C","Db","D","Eb","E","F","Gb","G","Ab","A","Bb","B"},0)-1)-69)/12),2),""))</f>
        <v/>
      </c>
      <c r="AG36" s="36" t="n"/>
      <c r="AH36" s="36" t="n"/>
      <c r="AI36" s="36" t="n"/>
      <c r="AJ36" s="36" t="inlineStr">
        <is>
          <t>Low</t>
        </is>
      </c>
      <c r="AK36" s="36" t="inlineStr">
        <is>
          <t>Low</t>
        </is>
      </c>
      <c r="AL36" s="35" t="n"/>
    </row>
    <row r="37">
      <c r="A37" s="35" t="inlineStr">
        <is>
          <t>TEST_004</t>
        </is>
      </c>
      <c r="B37" s="35" t="n">
        <v>5</v>
      </c>
      <c r="C37" s="36" t="n"/>
      <c r="D37" s="36" t="n"/>
      <c r="E37" s="36" t="n"/>
      <c r="F37" s="36" t="n">
        <v>9.039999999999999</v>
      </c>
      <c r="G37" s="36" t="n">
        <v>6.37</v>
      </c>
      <c r="H37" s="36" t="n"/>
      <c r="I37" s="36" t="n"/>
      <c r="J37" s="36" t="n"/>
      <c r="K37" s="36" t="n">
        <v>9.199999999999999</v>
      </c>
      <c r="L37" s="36" t="n">
        <v>6.94</v>
      </c>
      <c r="M37" s="36" t="n"/>
      <c r="N37" s="36" t="n"/>
      <c r="O37" s="36" t="n"/>
      <c r="P37" s="36" t="inlineStr">
        <is>
          <t>G#3</t>
        </is>
      </c>
      <c r="Q37" s="36" t="inlineStr">
        <is>
          <t>E2</t>
        </is>
      </c>
      <c r="R37" s="38">
        <f>IF(M37="","",LEFT(M37,LEN(M37)-1))</f>
        <v/>
      </c>
      <c r="S37" s="38">
        <f>IF(N37="","",LEFT(N37,LEN(N37)-1))</f>
        <v/>
      </c>
      <c r="T37" s="38">
        <f>IF(O37="","",LEFT(O37,LEN(O37)-1))</f>
        <v/>
      </c>
      <c r="U37" s="38">
        <f>IF(P37="","",LEFT(P37,LEN(P37)-1))</f>
        <v/>
      </c>
      <c r="V37" s="38">
        <f>IF(Q37="","",LEFT(Q37,LEN(Q37)-1))</f>
        <v/>
      </c>
      <c r="W37" s="38">
        <f>IF(M37="","",IFERROR(VALUE(RIGHT(M37,1)),""))</f>
        <v/>
      </c>
      <c r="X37" s="38">
        <f>IF(N37="","",IFERROR(VALUE(RIGHT(N37,1)),""))</f>
        <v/>
      </c>
      <c r="Y37" s="38">
        <f>IF(O37="","",IFERROR(VALUE(RIGHT(O37,1)),""))</f>
        <v/>
      </c>
      <c r="Z37" s="38">
        <f>IF(P37="","",IFERROR(VALUE(RIGHT(P37,1)),""))</f>
        <v/>
      </c>
      <c r="AA37" s="38">
        <f>IF(Q37="","",IFERROR(VALUE(RIGHT(Q37,1)),""))</f>
        <v/>
      </c>
      <c r="AB37" s="38">
        <f>IF(OR(M37="",W37=""),"",IFERROR(ROUND(440*2^((12*(W37+1)+IFERROR(MATCH(R37,{"C","C#","D","D#","E","F","F#","G","G#","A","A#","B"},0)-1,MATCH(R37,{"C","Db","D","Eb","E","F","Gb","G","Ab","A","Bb","B"},0)-1)-69)/12),2),""))</f>
        <v/>
      </c>
      <c r="AC37" s="38">
        <f>IF(OR(N37="",X37=""),"",IFERROR(ROUND(440*2^((12*(X37+1)+IFERROR(MATCH(S37,{"C","C#","D","D#","E","F","F#","G","G#","A","A#","B"},0)-1,MATCH(S37,{"C","Db","D","Eb","E","F","Gb","G","Ab","A","Bb","B"},0)-1)-69)/12),2),""))</f>
        <v/>
      </c>
      <c r="AD37" s="38">
        <f>IF(OR(O37="",Y37=""),"",IFERROR(ROUND(440*2^((12*(Y37+1)+IFERROR(MATCH(T37,{"C","C#","D","D#","E","F","F#","G","G#","A","A#","B"},0)-1,MATCH(T37,{"C","Db","D","Eb","E","F","Gb","G","Ab","A","Bb","B"},0)-1)-69)/12),2),""))</f>
        <v/>
      </c>
      <c r="AE37" s="38">
        <f>IF(OR(P37="",Z37=""),"",IFERROR(ROUND(440*2^((12*(Z37+1)+IFERROR(MATCH(U37,{"C","C#","D","D#","E","F","F#","G","G#","A","A#","B"},0)-1,MATCH(U37,{"C","Db","D","Eb","E","F","Gb","G","Ab","A","Bb","B"},0)-1)-69)/12),2),""))</f>
        <v/>
      </c>
      <c r="AF37" s="38">
        <f>IF(OR(Q37="",AA37=""),"",IFERROR(ROUND(440*2^((12*(AA37+1)+IFERROR(MATCH(V37,{"C","C#","D","D#","E","F","F#","G","G#","A","A#","B"},0)-1,MATCH(V37,{"C","Db","D","Eb","E","F","Gb","G","Ab","A","Bb","B"},0)-1)-69)/12),2),""))</f>
        <v/>
      </c>
      <c r="AG37" s="36" t="n"/>
      <c r="AH37" s="36" t="n"/>
      <c r="AI37" s="36" t="n"/>
      <c r="AJ37" s="36" t="inlineStr">
        <is>
          <t>Low</t>
        </is>
      </c>
      <c r="AK37" s="36" t="inlineStr">
        <is>
          <t>Low</t>
        </is>
      </c>
      <c r="AL37" s="35" t="n"/>
    </row>
    <row r="38">
      <c r="A38" s="35" t="inlineStr">
        <is>
          <t>TEST_004</t>
        </is>
      </c>
      <c r="B38" s="35" t="n">
        <v>6</v>
      </c>
      <c r="C38" s="36" t="n"/>
      <c r="D38" s="36" t="n"/>
      <c r="E38" s="36" t="n"/>
      <c r="F38" s="36" t="n">
        <v>9.67</v>
      </c>
      <c r="G38" s="36" t="n">
        <v>6.98</v>
      </c>
      <c r="H38" s="36" t="n"/>
      <c r="I38" s="36" t="n"/>
      <c r="J38" s="36" t="n"/>
      <c r="K38" s="36" t="n">
        <v>10.01</v>
      </c>
      <c r="L38" s="36" t="n">
        <v>7.52</v>
      </c>
      <c r="M38" s="36" t="n"/>
      <c r="N38" s="36" t="n"/>
      <c r="O38" s="36" t="n"/>
      <c r="P38" s="36" t="inlineStr">
        <is>
          <t>A3</t>
        </is>
      </c>
      <c r="Q38" s="36" t="inlineStr">
        <is>
          <t>B2</t>
        </is>
      </c>
      <c r="R38" s="38">
        <f>IF(M38="","",LEFT(M38,LEN(M38)-1))</f>
        <v/>
      </c>
      <c r="S38" s="38">
        <f>IF(N38="","",LEFT(N38,LEN(N38)-1))</f>
        <v/>
      </c>
      <c r="T38" s="38">
        <f>IF(O38="","",LEFT(O38,LEN(O38)-1))</f>
        <v/>
      </c>
      <c r="U38" s="38">
        <f>IF(P38="","",LEFT(P38,LEN(P38)-1))</f>
        <v/>
      </c>
      <c r="V38" s="38">
        <f>IF(Q38="","",LEFT(Q38,LEN(Q38)-1))</f>
        <v/>
      </c>
      <c r="W38" s="38">
        <f>IF(M38="","",IFERROR(VALUE(RIGHT(M38,1)),""))</f>
        <v/>
      </c>
      <c r="X38" s="38">
        <f>IF(N38="","",IFERROR(VALUE(RIGHT(N38,1)),""))</f>
        <v/>
      </c>
      <c r="Y38" s="38">
        <f>IF(O38="","",IFERROR(VALUE(RIGHT(O38,1)),""))</f>
        <v/>
      </c>
      <c r="Z38" s="38">
        <f>IF(P38="","",IFERROR(VALUE(RIGHT(P38,1)),""))</f>
        <v/>
      </c>
      <c r="AA38" s="38">
        <f>IF(Q38="","",IFERROR(VALUE(RIGHT(Q38,1)),""))</f>
        <v/>
      </c>
      <c r="AB38" s="38">
        <f>IF(OR(M38="",W38=""),"",IFERROR(ROUND(440*2^((12*(W38+1)+IFERROR(MATCH(R38,{"C","C#","D","D#","E","F","F#","G","G#","A","A#","B"},0)-1,MATCH(R38,{"C","Db","D","Eb","E","F","Gb","G","Ab","A","Bb","B"},0)-1)-69)/12),2),""))</f>
        <v/>
      </c>
      <c r="AC38" s="38">
        <f>IF(OR(N38="",X38=""),"",IFERROR(ROUND(440*2^((12*(X38+1)+IFERROR(MATCH(S38,{"C","C#","D","D#","E","F","F#","G","G#","A","A#","B"},0)-1,MATCH(S38,{"C","Db","D","Eb","E","F","Gb","G","Ab","A","Bb","B"},0)-1)-69)/12),2),""))</f>
        <v/>
      </c>
      <c r="AD38" s="38">
        <f>IF(OR(O38="",Y38=""),"",IFERROR(ROUND(440*2^((12*(Y38+1)+IFERROR(MATCH(T38,{"C","C#","D","D#","E","F","F#","G","G#","A","A#","B"},0)-1,MATCH(T38,{"C","Db","D","Eb","E","F","Gb","G","Ab","A","Bb","B"},0)-1)-69)/12),2),""))</f>
        <v/>
      </c>
      <c r="AE38" s="38">
        <f>IF(OR(P38="",Z38=""),"",IFERROR(ROUND(440*2^((12*(Z38+1)+IFERROR(MATCH(U38,{"C","C#","D","D#","E","F","F#","G","G#","A","A#","B"},0)-1,MATCH(U38,{"C","Db","D","Eb","E","F","Gb","G","Ab","A","Bb","B"},0)-1)-69)/12),2),""))</f>
        <v/>
      </c>
      <c r="AF38" s="38">
        <f>IF(OR(Q38="",AA38=""),"",IFERROR(ROUND(440*2^((12*(AA38+1)+IFERROR(MATCH(V38,{"C","C#","D","D#","E","F","F#","G","G#","A","A#","B"},0)-1,MATCH(V38,{"C","Db","D","Eb","E","F","Gb","G","Ab","A","Bb","B"},0)-1)-69)/12),2),""))</f>
        <v/>
      </c>
      <c r="AG38" s="36" t="n"/>
      <c r="AH38" s="36" t="n"/>
      <c r="AI38" s="36" t="n"/>
      <c r="AJ38" s="36" t="inlineStr">
        <is>
          <t>Low</t>
        </is>
      </c>
      <c r="AK38" s="36" t="inlineStr">
        <is>
          <t>Medium</t>
        </is>
      </c>
      <c r="AL38" s="35" t="n"/>
    </row>
    <row r="39">
      <c r="A39" s="35" t="inlineStr">
        <is>
          <t>TEST_004</t>
        </is>
      </c>
      <c r="B39" s="35" t="n">
        <v>7</v>
      </c>
      <c r="C39" s="36" t="n"/>
      <c r="D39" s="36" t="n"/>
      <c r="E39" s="36" t="n"/>
      <c r="F39" s="36" t="n">
        <v>10.12</v>
      </c>
      <c r="G39" s="36" t="n">
        <v>9.710000000000001</v>
      </c>
      <c r="H39" s="36" t="n"/>
      <c r="I39" s="36" t="n"/>
      <c r="J39" s="36" t="n"/>
      <c r="K39" s="36" t="n">
        <v>10.44</v>
      </c>
      <c r="L39" s="36" t="n">
        <v>10.04</v>
      </c>
      <c r="M39" s="36" t="n"/>
      <c r="N39" s="36" t="n"/>
      <c r="O39" s="36" t="n"/>
      <c r="P39" s="36" t="inlineStr">
        <is>
          <t>G#3</t>
        </is>
      </c>
      <c r="Q39" s="36" t="inlineStr">
        <is>
          <t>A2</t>
        </is>
      </c>
      <c r="R39" s="38">
        <f>IF(M39="","",LEFT(M39,LEN(M39)-1))</f>
        <v/>
      </c>
      <c r="S39" s="38">
        <f>IF(N39="","",LEFT(N39,LEN(N39)-1))</f>
        <v/>
      </c>
      <c r="T39" s="38">
        <f>IF(O39="","",LEFT(O39,LEN(O39)-1))</f>
        <v/>
      </c>
      <c r="U39" s="38">
        <f>IF(P39="","",LEFT(P39,LEN(P39)-1))</f>
        <v/>
      </c>
      <c r="V39" s="38">
        <f>IF(Q39="","",LEFT(Q39,LEN(Q39)-1))</f>
        <v/>
      </c>
      <c r="W39" s="38">
        <f>IF(M39="","",IFERROR(VALUE(RIGHT(M39,1)),""))</f>
        <v/>
      </c>
      <c r="X39" s="38">
        <f>IF(N39="","",IFERROR(VALUE(RIGHT(N39,1)),""))</f>
        <v/>
      </c>
      <c r="Y39" s="38">
        <f>IF(O39="","",IFERROR(VALUE(RIGHT(O39,1)),""))</f>
        <v/>
      </c>
      <c r="Z39" s="38">
        <f>IF(P39="","",IFERROR(VALUE(RIGHT(P39,1)),""))</f>
        <v/>
      </c>
      <c r="AA39" s="38">
        <f>IF(Q39="","",IFERROR(VALUE(RIGHT(Q39,1)),""))</f>
        <v/>
      </c>
      <c r="AB39" s="38">
        <f>IF(OR(M39="",W39=""),"",IFERROR(ROUND(440*2^((12*(W39+1)+IFERROR(MATCH(R39,{"C","C#","D","D#","E","F","F#","G","G#","A","A#","B"},0)-1,MATCH(R39,{"C","Db","D","Eb","E","F","Gb","G","Ab","A","Bb","B"},0)-1)-69)/12),2),""))</f>
        <v/>
      </c>
      <c r="AC39" s="38">
        <f>IF(OR(N39="",X39=""),"",IFERROR(ROUND(440*2^((12*(X39+1)+IFERROR(MATCH(S39,{"C","C#","D","D#","E","F","F#","G","G#","A","A#","B"},0)-1,MATCH(S39,{"C","Db","D","Eb","E","F","Gb","G","Ab","A","Bb","B"},0)-1)-69)/12),2),""))</f>
        <v/>
      </c>
      <c r="AD39" s="38">
        <f>IF(OR(O39="",Y39=""),"",IFERROR(ROUND(440*2^((12*(Y39+1)+IFERROR(MATCH(T39,{"C","C#","D","D#","E","F","F#","G","G#","A","A#","B"},0)-1,MATCH(T39,{"C","Db","D","Eb","E","F","Gb","G","Ab","A","Bb","B"},0)-1)-69)/12),2),""))</f>
        <v/>
      </c>
      <c r="AE39" s="38">
        <f>IF(OR(P39="",Z39=""),"",IFERROR(ROUND(440*2^((12*(Z39+1)+IFERROR(MATCH(U39,{"C","C#","D","D#","E","F","F#","G","G#","A","A#","B"},0)-1,MATCH(U39,{"C","Db","D","Eb","E","F","Gb","G","Ab","A","Bb","B"},0)-1)-69)/12),2),""))</f>
        <v/>
      </c>
      <c r="AF39" s="38">
        <f>IF(OR(Q39="",AA39=""),"",IFERROR(ROUND(440*2^((12*(AA39+1)+IFERROR(MATCH(V39,{"C","C#","D","D#","E","F","F#","G","G#","A","A#","B"},0)-1,MATCH(V39,{"C","Db","D","Eb","E","F","Gb","G","Ab","A","Bb","B"},0)-1)-69)/12),2),""))</f>
        <v/>
      </c>
      <c r="AG39" s="36" t="n"/>
      <c r="AH39" s="36" t="n"/>
      <c r="AI39" s="36" t="n"/>
      <c r="AJ39" s="36" t="inlineStr">
        <is>
          <t>Low</t>
        </is>
      </c>
      <c r="AK39" s="36" t="inlineStr">
        <is>
          <t>Low</t>
        </is>
      </c>
      <c r="AL39" s="35" t="n"/>
    </row>
    <row r="40">
      <c r="A40" s="35" t="inlineStr">
        <is>
          <t>TEST_004</t>
        </is>
      </c>
      <c r="B40" s="35" t="n">
        <v>8</v>
      </c>
      <c r="C40" s="36" t="n"/>
      <c r="D40" s="36" t="n"/>
      <c r="E40" s="36" t="n"/>
      <c r="F40" s="36" t="n">
        <v>13.6</v>
      </c>
      <c r="G40" s="36" t="n">
        <v>10.15</v>
      </c>
      <c r="H40" s="36" t="n"/>
      <c r="I40" s="36" t="n"/>
      <c r="J40" s="36" t="n"/>
      <c r="K40" s="36" t="n">
        <v>13.79</v>
      </c>
      <c r="L40" s="36" t="n">
        <v>10.53</v>
      </c>
      <c r="M40" s="36" t="n"/>
      <c r="N40" s="36" t="n"/>
      <c r="O40" s="36" t="n"/>
      <c r="P40" s="36" t="inlineStr">
        <is>
          <t>G#3</t>
        </is>
      </c>
      <c r="Q40" s="36" t="inlineStr">
        <is>
          <t>G#2</t>
        </is>
      </c>
      <c r="R40" s="38">
        <f>IF(M40="","",LEFT(M40,LEN(M40)-1))</f>
        <v/>
      </c>
      <c r="S40" s="38">
        <f>IF(N40="","",LEFT(N40,LEN(N40)-1))</f>
        <v/>
      </c>
      <c r="T40" s="38">
        <f>IF(O40="","",LEFT(O40,LEN(O40)-1))</f>
        <v/>
      </c>
      <c r="U40" s="38">
        <f>IF(P40="","",LEFT(P40,LEN(P40)-1))</f>
        <v/>
      </c>
      <c r="V40" s="38">
        <f>IF(Q40="","",LEFT(Q40,LEN(Q40)-1))</f>
        <v/>
      </c>
      <c r="W40" s="38">
        <f>IF(M40="","",IFERROR(VALUE(RIGHT(M40,1)),""))</f>
        <v/>
      </c>
      <c r="X40" s="38">
        <f>IF(N40="","",IFERROR(VALUE(RIGHT(N40,1)),""))</f>
        <v/>
      </c>
      <c r="Y40" s="38">
        <f>IF(O40="","",IFERROR(VALUE(RIGHT(O40,1)),""))</f>
        <v/>
      </c>
      <c r="Z40" s="38">
        <f>IF(P40="","",IFERROR(VALUE(RIGHT(P40,1)),""))</f>
        <v/>
      </c>
      <c r="AA40" s="38">
        <f>IF(Q40="","",IFERROR(VALUE(RIGHT(Q40,1)),""))</f>
        <v/>
      </c>
      <c r="AB40" s="38">
        <f>IF(OR(M40="",W40=""),"",IFERROR(ROUND(440*2^((12*(W40+1)+IFERROR(MATCH(R40,{"C","C#","D","D#","E","F","F#","G","G#","A","A#","B"},0)-1,MATCH(R40,{"C","Db","D","Eb","E","F","Gb","G","Ab","A","Bb","B"},0)-1)-69)/12),2),""))</f>
        <v/>
      </c>
      <c r="AC40" s="38">
        <f>IF(OR(N40="",X40=""),"",IFERROR(ROUND(440*2^((12*(X40+1)+IFERROR(MATCH(S40,{"C","C#","D","D#","E","F","F#","G","G#","A","A#","B"},0)-1,MATCH(S40,{"C","Db","D","Eb","E","F","Gb","G","Ab","A","Bb","B"},0)-1)-69)/12),2),""))</f>
        <v/>
      </c>
      <c r="AD40" s="38">
        <f>IF(OR(O40="",Y40=""),"",IFERROR(ROUND(440*2^((12*(Y40+1)+IFERROR(MATCH(T40,{"C","C#","D","D#","E","F","F#","G","G#","A","A#","B"},0)-1,MATCH(T40,{"C","Db","D","Eb","E","F","Gb","G","Ab","A","Bb","B"},0)-1)-69)/12),2),""))</f>
        <v/>
      </c>
      <c r="AE40" s="38">
        <f>IF(OR(P40="",Z40=""),"",IFERROR(ROUND(440*2^((12*(Z40+1)+IFERROR(MATCH(U40,{"C","C#","D","D#","E","F","F#","G","G#","A","A#","B"},0)-1,MATCH(U40,{"C","Db","D","Eb","E","F","Gb","G","Ab","A","Bb","B"},0)-1)-69)/12),2),""))</f>
        <v/>
      </c>
      <c r="AF40" s="38">
        <f>IF(OR(Q40="",AA40=""),"",IFERROR(ROUND(440*2^((12*(AA40+1)+IFERROR(MATCH(V40,{"C","C#","D","D#","E","F","F#","G","G#","A","A#","B"},0)-1,MATCH(V40,{"C","Db","D","Eb","E","F","Gb","G","Ab","A","Bb","B"},0)-1)-69)/12),2),""))</f>
        <v/>
      </c>
      <c r="AG40" s="36" t="n"/>
      <c r="AH40" s="36" t="n"/>
      <c r="AI40" s="36" t="n"/>
      <c r="AJ40" s="36" t="inlineStr">
        <is>
          <t>Low</t>
        </is>
      </c>
      <c r="AK40" s="36" t="inlineStr">
        <is>
          <t>Low</t>
        </is>
      </c>
      <c r="AL40" s="35" t="n"/>
    </row>
    <row r="41">
      <c r="A41" s="35" t="inlineStr">
        <is>
          <t>TEST_004</t>
        </is>
      </c>
      <c r="B41" s="35" t="n">
        <v>9</v>
      </c>
      <c r="C41" s="36" t="n"/>
      <c r="D41" s="36" t="n"/>
      <c r="E41" s="36" t="n"/>
      <c r="F41" s="36" t="n">
        <v>13.8</v>
      </c>
      <c r="G41" s="36" t="n">
        <v>10.63</v>
      </c>
      <c r="H41" s="36" t="n"/>
      <c r="I41" s="36" t="n"/>
      <c r="J41" s="36" t="n"/>
      <c r="K41" s="36" t="n">
        <v>13.96</v>
      </c>
      <c r="L41" s="36" t="n">
        <v>10.91</v>
      </c>
      <c r="M41" s="36" t="n"/>
      <c r="N41" s="36" t="n"/>
      <c r="O41" s="36" t="n"/>
      <c r="P41" s="36" t="inlineStr">
        <is>
          <t>F#3</t>
        </is>
      </c>
      <c r="Q41" s="36" t="inlineStr">
        <is>
          <t>E3</t>
        </is>
      </c>
      <c r="R41" s="38">
        <f>IF(M41="","",LEFT(M41,LEN(M41)-1))</f>
        <v/>
      </c>
      <c r="S41" s="38">
        <f>IF(N41="","",LEFT(N41,LEN(N41)-1))</f>
        <v/>
      </c>
      <c r="T41" s="38">
        <f>IF(O41="","",LEFT(O41,LEN(O41)-1))</f>
        <v/>
      </c>
      <c r="U41" s="38">
        <f>IF(P41="","",LEFT(P41,LEN(P41)-1))</f>
        <v/>
      </c>
      <c r="V41" s="38">
        <f>IF(Q41="","",LEFT(Q41,LEN(Q41)-1))</f>
        <v/>
      </c>
      <c r="W41" s="38">
        <f>IF(M41="","",IFERROR(VALUE(RIGHT(M41,1)),""))</f>
        <v/>
      </c>
      <c r="X41" s="38">
        <f>IF(N41="","",IFERROR(VALUE(RIGHT(N41,1)),""))</f>
        <v/>
      </c>
      <c r="Y41" s="38">
        <f>IF(O41="","",IFERROR(VALUE(RIGHT(O41,1)),""))</f>
        <v/>
      </c>
      <c r="Z41" s="38">
        <f>IF(P41="","",IFERROR(VALUE(RIGHT(P41,1)),""))</f>
        <v/>
      </c>
      <c r="AA41" s="38">
        <f>IF(Q41="","",IFERROR(VALUE(RIGHT(Q41,1)),""))</f>
        <v/>
      </c>
      <c r="AB41" s="38">
        <f>IF(OR(M41="",W41=""),"",IFERROR(ROUND(440*2^((12*(W41+1)+IFERROR(MATCH(R41,{"C","C#","D","D#","E","F","F#","G","G#","A","A#","B"},0)-1,MATCH(R41,{"C","Db","D","Eb","E","F","Gb","G","Ab","A","Bb","B"},0)-1)-69)/12),2),""))</f>
        <v/>
      </c>
      <c r="AC41" s="38">
        <f>IF(OR(N41="",X41=""),"",IFERROR(ROUND(440*2^((12*(X41+1)+IFERROR(MATCH(S41,{"C","C#","D","D#","E","F","F#","G","G#","A","A#","B"},0)-1,MATCH(S41,{"C","Db","D","Eb","E","F","Gb","G","Ab","A","Bb","B"},0)-1)-69)/12),2),""))</f>
        <v/>
      </c>
      <c r="AD41" s="38">
        <f>IF(OR(O41="",Y41=""),"",IFERROR(ROUND(440*2^((12*(Y41+1)+IFERROR(MATCH(T41,{"C","C#","D","D#","E","F","F#","G","G#","A","A#","B"},0)-1,MATCH(T41,{"C","Db","D","Eb","E","F","Gb","G","Ab","A","Bb","B"},0)-1)-69)/12),2),""))</f>
        <v/>
      </c>
      <c r="AE41" s="38">
        <f>IF(OR(P41="",Z41=""),"",IFERROR(ROUND(440*2^((12*(Z41+1)+IFERROR(MATCH(U41,{"C","C#","D","D#","E","F","F#","G","G#","A","A#","B"},0)-1,MATCH(U41,{"C","Db","D","Eb","E","F","Gb","G","Ab","A","Bb","B"},0)-1)-69)/12),2),""))</f>
        <v/>
      </c>
      <c r="AF41" s="38">
        <f>IF(OR(Q41="",AA41=""),"",IFERROR(ROUND(440*2^((12*(AA41+1)+IFERROR(MATCH(V41,{"C","C#","D","D#","E","F","F#","G","G#","A","A#","B"},0)-1,MATCH(V41,{"C","Db","D","Eb","E","F","Gb","G","Ab","A","Bb","B"},0)-1)-69)/12),2),""))</f>
        <v/>
      </c>
      <c r="AG41" s="36" t="n"/>
      <c r="AH41" s="36" t="n"/>
      <c r="AI41" s="36" t="n"/>
      <c r="AJ41" s="36" t="inlineStr">
        <is>
          <t>Low</t>
        </is>
      </c>
      <c r="AK41" s="36" t="inlineStr">
        <is>
          <t>Medium</t>
        </is>
      </c>
      <c r="AL41" s="35" t="n"/>
    </row>
    <row r="42">
      <c r="A42" s="35" t="inlineStr">
        <is>
          <t>TEST_004</t>
        </is>
      </c>
      <c r="B42" s="35" t="n">
        <v>10</v>
      </c>
      <c r="C42" s="36" t="n"/>
      <c r="D42" s="36" t="n"/>
      <c r="E42" s="36" t="n"/>
      <c r="F42" s="36" t="n">
        <v>14.22</v>
      </c>
      <c r="G42" s="36" t="n">
        <v>12.24</v>
      </c>
      <c r="H42" s="36" t="n"/>
      <c r="I42" s="36" t="n"/>
      <c r="J42" s="36" t="n"/>
      <c r="K42" s="36" t="n">
        <v>14.38</v>
      </c>
      <c r="L42" s="36" t="n">
        <v>12.71</v>
      </c>
      <c r="M42" s="36" t="n"/>
      <c r="N42" s="36" t="n"/>
      <c r="O42" s="36" t="n"/>
      <c r="P42" s="36" t="inlineStr">
        <is>
          <t>A3</t>
        </is>
      </c>
      <c r="Q42" s="36" t="inlineStr">
        <is>
          <t>E2</t>
        </is>
      </c>
      <c r="R42" s="38">
        <f>IF(M42="","",LEFT(M42,LEN(M42)-1))</f>
        <v/>
      </c>
      <c r="S42" s="38">
        <f>IF(N42="","",LEFT(N42,LEN(N42)-1))</f>
        <v/>
      </c>
      <c r="T42" s="38">
        <f>IF(O42="","",LEFT(O42,LEN(O42)-1))</f>
        <v/>
      </c>
      <c r="U42" s="38">
        <f>IF(P42="","",LEFT(P42,LEN(P42)-1))</f>
        <v/>
      </c>
      <c r="V42" s="38">
        <f>IF(Q42="","",LEFT(Q42,LEN(Q42)-1))</f>
        <v/>
      </c>
      <c r="W42" s="38">
        <f>IF(M42="","",IFERROR(VALUE(RIGHT(M42,1)),""))</f>
        <v/>
      </c>
      <c r="X42" s="38">
        <f>IF(N42="","",IFERROR(VALUE(RIGHT(N42,1)),""))</f>
        <v/>
      </c>
      <c r="Y42" s="38">
        <f>IF(O42="","",IFERROR(VALUE(RIGHT(O42,1)),""))</f>
        <v/>
      </c>
      <c r="Z42" s="38">
        <f>IF(P42="","",IFERROR(VALUE(RIGHT(P42,1)),""))</f>
        <v/>
      </c>
      <c r="AA42" s="38">
        <f>IF(Q42="","",IFERROR(VALUE(RIGHT(Q42,1)),""))</f>
        <v/>
      </c>
      <c r="AB42" s="38">
        <f>IF(OR(M42="",W42=""),"",IFERROR(ROUND(440*2^((12*(W42+1)+IFERROR(MATCH(R42,{"C","C#","D","D#","E","F","F#","G","G#","A","A#","B"},0)-1,MATCH(R42,{"C","Db","D","Eb","E","F","Gb","G","Ab","A","Bb","B"},0)-1)-69)/12),2),""))</f>
        <v/>
      </c>
      <c r="AC42" s="38">
        <f>IF(OR(N42="",X42=""),"",IFERROR(ROUND(440*2^((12*(X42+1)+IFERROR(MATCH(S42,{"C","C#","D","D#","E","F","F#","G","G#","A","A#","B"},0)-1,MATCH(S42,{"C","Db","D","Eb","E","F","Gb","G","Ab","A","Bb","B"},0)-1)-69)/12),2),""))</f>
        <v/>
      </c>
      <c r="AD42" s="38">
        <f>IF(OR(O42="",Y42=""),"",IFERROR(ROUND(440*2^((12*(Y42+1)+IFERROR(MATCH(T42,{"C","C#","D","D#","E","F","F#","G","G#","A","A#","B"},0)-1,MATCH(T42,{"C","Db","D","Eb","E","F","Gb","G","Ab","A","Bb","B"},0)-1)-69)/12),2),""))</f>
        <v/>
      </c>
      <c r="AE42" s="38">
        <f>IF(OR(P42="",Z42=""),"",IFERROR(ROUND(440*2^((12*(Z42+1)+IFERROR(MATCH(U42,{"C","C#","D","D#","E","F","F#","G","G#","A","A#","B"},0)-1,MATCH(U42,{"C","Db","D","Eb","E","F","Gb","G","Ab","A","Bb","B"},0)-1)-69)/12),2),""))</f>
        <v/>
      </c>
      <c r="AF42" s="38">
        <f>IF(OR(Q42="",AA42=""),"",IFERROR(ROUND(440*2^((12*(AA42+1)+IFERROR(MATCH(V42,{"C","C#","D","D#","E","F","F#","G","G#","A","A#","B"},0)-1,MATCH(V42,{"C","Db","D","Eb","E","F","Gb","G","Ab","A","Bb","B"},0)-1)-69)/12),2),""))</f>
        <v/>
      </c>
      <c r="AG42" s="36" t="n"/>
      <c r="AH42" s="36" t="n"/>
      <c r="AI42" s="36" t="n"/>
      <c r="AJ42" s="36" t="inlineStr">
        <is>
          <t>Low</t>
        </is>
      </c>
      <c r="AK42" s="36" t="inlineStr">
        <is>
          <t>Low</t>
        </is>
      </c>
      <c r="AL42" s="35" t="n"/>
    </row>
    <row r="43">
      <c r="A43" s="35" t="inlineStr">
        <is>
          <t>TEST_005</t>
        </is>
      </c>
      <c r="B43" s="35" t="n">
        <v>1</v>
      </c>
      <c r="C43" s="36" t="n"/>
      <c r="D43" s="36" t="n"/>
      <c r="E43" s="36" t="n"/>
      <c r="F43" s="36" t="n">
        <v>0.45</v>
      </c>
      <c r="G43" s="36" t="n">
        <v>0.5</v>
      </c>
      <c r="H43" s="36" t="n"/>
      <c r="I43" s="36" t="n"/>
      <c r="J43" s="36" t="n"/>
      <c r="K43" s="36" t="n">
        <v>0.59</v>
      </c>
      <c r="L43" s="36" t="n">
        <v>0.82</v>
      </c>
      <c r="M43" s="36" t="n"/>
      <c r="N43" s="36" t="inlineStr">
        <is>
          <t>N/A</t>
        </is>
      </c>
      <c r="O43" s="36" t="inlineStr">
        <is>
          <t>N/A</t>
        </is>
      </c>
      <c r="P43" s="36" t="inlineStr">
        <is>
          <t>F#4</t>
        </is>
      </c>
      <c r="Q43" s="36" t="inlineStr">
        <is>
          <t>F#3</t>
        </is>
      </c>
      <c r="R43" s="38">
        <f>IF(M43="","",LEFT(M43,LEN(M43)-1))</f>
        <v/>
      </c>
      <c r="S43" s="38">
        <f>IF(N43="","",LEFT(N43,LEN(N43)-1))</f>
        <v/>
      </c>
      <c r="T43" s="38">
        <f>IF(O43="","",LEFT(O43,LEN(O43)-1))</f>
        <v/>
      </c>
      <c r="U43" s="38">
        <f>IF(P43="","",LEFT(P43,LEN(P43)-1))</f>
        <v/>
      </c>
      <c r="V43" s="38">
        <f>IF(Q43="","",LEFT(Q43,LEN(Q43)-1))</f>
        <v/>
      </c>
      <c r="W43" s="38">
        <f>IF(M43="","",IFERROR(VALUE(RIGHT(M43,1)),""))</f>
        <v/>
      </c>
      <c r="X43" s="38">
        <f>IF(N43="","",IFERROR(VALUE(RIGHT(N43,1)),""))</f>
        <v/>
      </c>
      <c r="Y43" s="38">
        <f>IF(O43="","",IFERROR(VALUE(RIGHT(O43,1)),""))</f>
        <v/>
      </c>
      <c r="Z43" s="38">
        <f>IF(P43="","",IFERROR(VALUE(RIGHT(P43,1)),""))</f>
        <v/>
      </c>
      <c r="AA43" s="38">
        <f>IF(Q43="","",IFERROR(VALUE(RIGHT(Q43,1)),""))</f>
        <v/>
      </c>
      <c r="AB43" s="38">
        <f>IF(OR(M43="",W43=""),"",IFERROR(ROUND(440*2^((12*(W43+1)+IFERROR(MATCH(R43,{"C","C#","D","D#","E","F","F#","G","G#","A","A#","B"},0)-1,MATCH(R43,{"C","Db","D","Eb","E","F","Gb","G","Ab","A","Bb","B"},0)-1)-69)/12),2),""))</f>
        <v/>
      </c>
      <c r="AC43" s="38">
        <f>IF(OR(N43="",X43=""),"",IFERROR(ROUND(440*2^((12*(X43+1)+IFERROR(MATCH(S43,{"C","C#","D","D#","E","F","F#","G","G#","A","A#","B"},0)-1,MATCH(S43,{"C","Db","D","Eb","E","F","Gb","G","Ab","A","Bb","B"},0)-1)-69)/12),2),""))</f>
        <v/>
      </c>
      <c r="AD43" s="38">
        <f>IF(OR(O43="",Y43=""),"",IFERROR(ROUND(440*2^((12*(Y43+1)+IFERROR(MATCH(T43,{"C","C#","D","D#","E","F","F#","G","G#","A","A#","B"},0)-1,MATCH(T43,{"C","Db","D","Eb","E","F","Gb","G","Ab","A","Bb","B"},0)-1)-69)/12),2),""))</f>
        <v/>
      </c>
      <c r="AE43" s="38">
        <f>IF(OR(P43="",Z43=""),"",IFERROR(ROUND(440*2^((12*(Z43+1)+IFERROR(MATCH(U43,{"C","C#","D","D#","E","F","F#","G","G#","A","A#","B"},0)-1,MATCH(U43,{"C","Db","D","Eb","E","F","Gb","G","Ab","A","Bb","B"},0)-1)-69)/12),2),""))</f>
        <v/>
      </c>
      <c r="AF43" s="38">
        <f>IF(OR(Q43="",AA43=""),"",IFERROR(ROUND(440*2^((12*(AA43+1)+IFERROR(MATCH(V43,{"C","C#","D","D#","E","F","F#","G","G#","A","A#","B"},0)-1,MATCH(V43,{"C","Db","D","Eb","E","F","Gb","G","Ab","A","Bb","B"},0)-1)-69)/12),2),""))</f>
        <v/>
      </c>
      <c r="AG43" s="36" t="n"/>
      <c r="AH43" s="36" t="n"/>
      <c r="AI43" s="36" t="n"/>
      <c r="AJ43" s="36" t="inlineStr">
        <is>
          <t>Low</t>
        </is>
      </c>
      <c r="AK43" s="36" t="inlineStr">
        <is>
          <t>Low</t>
        </is>
      </c>
      <c r="AL4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44">
      <c r="A44" s="35" t="inlineStr">
        <is>
          <t>TEST_005</t>
        </is>
      </c>
      <c r="B44" s="35" t="n">
        <v>2</v>
      </c>
      <c r="C44" s="36" t="n"/>
      <c r="D44" s="36" t="n"/>
      <c r="E44" s="36" t="n"/>
      <c r="F44" s="36" t="n">
        <v>0.6</v>
      </c>
      <c r="G44" s="36" t="n">
        <v>1.25</v>
      </c>
      <c r="H44" s="36" t="n"/>
      <c r="I44" s="36" t="n"/>
      <c r="J44" s="36" t="n"/>
      <c r="K44" s="36" t="n">
        <v>0.83</v>
      </c>
      <c r="L44" s="36" t="n">
        <v>1.54</v>
      </c>
      <c r="M44" s="36" t="n"/>
      <c r="N44" s="36" t="n"/>
      <c r="O44" s="36" t="n"/>
      <c r="P44" s="36" t="inlineStr">
        <is>
          <t>F#4</t>
        </is>
      </c>
      <c r="Q44" s="36" t="inlineStr">
        <is>
          <t>D#2</t>
        </is>
      </c>
      <c r="R44" s="38">
        <f>IF(M44="","",LEFT(M44,LEN(M44)-1))</f>
        <v/>
      </c>
      <c r="S44" s="38">
        <f>IF(N44="","",LEFT(N44,LEN(N44)-1))</f>
        <v/>
      </c>
      <c r="T44" s="38">
        <f>IF(O44="","",LEFT(O44,LEN(O44)-1))</f>
        <v/>
      </c>
      <c r="U44" s="38">
        <f>IF(P44="","",LEFT(P44,LEN(P44)-1))</f>
        <v/>
      </c>
      <c r="V44" s="38">
        <f>IF(Q44="","",LEFT(Q44,LEN(Q44)-1))</f>
        <v/>
      </c>
      <c r="W44" s="38">
        <f>IF(M44="","",IFERROR(VALUE(RIGHT(M44,1)),""))</f>
        <v/>
      </c>
      <c r="X44" s="38">
        <f>IF(N44="","",IFERROR(VALUE(RIGHT(N44,1)),""))</f>
        <v/>
      </c>
      <c r="Y44" s="38">
        <f>IF(O44="","",IFERROR(VALUE(RIGHT(O44,1)),""))</f>
        <v/>
      </c>
      <c r="Z44" s="38">
        <f>IF(P44="","",IFERROR(VALUE(RIGHT(P44,1)),""))</f>
        <v/>
      </c>
      <c r="AA44" s="38">
        <f>IF(Q44="","",IFERROR(VALUE(RIGHT(Q44,1)),""))</f>
        <v/>
      </c>
      <c r="AB44" s="38">
        <f>IF(OR(M44="",W44=""),"",IFERROR(ROUND(440*2^((12*(W44+1)+IFERROR(MATCH(R44,{"C","C#","D","D#","E","F","F#","G","G#","A","A#","B"},0)-1,MATCH(R44,{"C","Db","D","Eb","E","F","Gb","G","Ab","A","Bb","B"},0)-1)-69)/12),2),""))</f>
        <v/>
      </c>
      <c r="AC44" s="38">
        <f>IF(OR(N44="",X44=""),"",IFERROR(ROUND(440*2^((12*(X44+1)+IFERROR(MATCH(S44,{"C","C#","D","D#","E","F","F#","G","G#","A","A#","B"},0)-1,MATCH(S44,{"C","Db","D","Eb","E","F","Gb","G","Ab","A","Bb","B"},0)-1)-69)/12),2),""))</f>
        <v/>
      </c>
      <c r="AD44" s="38">
        <f>IF(OR(O44="",Y44=""),"",IFERROR(ROUND(440*2^((12*(Y44+1)+IFERROR(MATCH(T44,{"C","C#","D","D#","E","F","F#","G","G#","A","A#","B"},0)-1,MATCH(T44,{"C","Db","D","Eb","E","F","Gb","G","Ab","A","Bb","B"},0)-1)-69)/12),2),""))</f>
        <v/>
      </c>
      <c r="AE44" s="38">
        <f>IF(OR(P44="",Z44=""),"",IFERROR(ROUND(440*2^((12*(Z44+1)+IFERROR(MATCH(U44,{"C","C#","D","D#","E","F","F#","G","G#","A","A#","B"},0)-1,MATCH(U44,{"C","Db","D","Eb","E","F","Gb","G","Ab","A","Bb","B"},0)-1)-69)/12),2),""))</f>
        <v/>
      </c>
      <c r="AF44" s="38">
        <f>IF(OR(Q44="",AA44=""),"",IFERROR(ROUND(440*2^((12*(AA44+1)+IFERROR(MATCH(V44,{"C","C#","D","D#","E","F","F#","G","G#","A","A#","B"},0)-1,MATCH(V44,{"C","Db","D","Eb","E","F","Gb","G","Ab","A","Bb","B"},0)-1)-69)/12),2),""))</f>
        <v/>
      </c>
      <c r="AG44" s="36" t="n"/>
      <c r="AH44" s="36" t="n"/>
      <c r="AI44" s="36" t="n"/>
      <c r="AJ44" s="36" t="inlineStr">
        <is>
          <t>Low</t>
        </is>
      </c>
      <c r="AK44" s="36" t="inlineStr">
        <is>
          <t>Low</t>
        </is>
      </c>
      <c r="AL44" s="35" t="n"/>
    </row>
    <row r="45">
      <c r="A45" s="35" t="inlineStr">
        <is>
          <t>TEST_005</t>
        </is>
      </c>
      <c r="B45" s="35" t="n">
        <v>3</v>
      </c>
      <c r="C45" s="36" t="n"/>
      <c r="D45" s="36" t="n"/>
      <c r="E45" s="36" t="n"/>
      <c r="F45" s="36" t="n">
        <v>2.28</v>
      </c>
      <c r="G45" s="36" t="n">
        <v>1.94</v>
      </c>
      <c r="H45" s="36" t="n"/>
      <c r="I45" s="36" t="n"/>
      <c r="J45" s="36" t="n"/>
      <c r="K45" s="36" t="n">
        <v>2.79</v>
      </c>
      <c r="L45" s="36" t="n">
        <v>2.12</v>
      </c>
      <c r="M45" s="36" t="n"/>
      <c r="N45" s="36" t="n"/>
      <c r="O45" s="36" t="n"/>
      <c r="P45" s="36" t="inlineStr">
        <is>
          <t>A#3</t>
        </is>
      </c>
      <c r="Q45" s="36" t="inlineStr">
        <is>
          <t>G3</t>
        </is>
      </c>
      <c r="R45" s="38">
        <f>IF(M45="","",LEFT(M45,LEN(M45)-1))</f>
        <v/>
      </c>
      <c r="S45" s="38">
        <f>IF(N45="","",LEFT(N45,LEN(N45)-1))</f>
        <v/>
      </c>
      <c r="T45" s="38">
        <f>IF(O45="","",LEFT(O45,LEN(O45)-1))</f>
        <v/>
      </c>
      <c r="U45" s="38">
        <f>IF(P45="","",LEFT(P45,LEN(P45)-1))</f>
        <v/>
      </c>
      <c r="V45" s="38">
        <f>IF(Q45="","",LEFT(Q45,LEN(Q45)-1))</f>
        <v/>
      </c>
      <c r="W45" s="38">
        <f>IF(M45="","",IFERROR(VALUE(RIGHT(M45,1)),""))</f>
        <v/>
      </c>
      <c r="X45" s="38">
        <f>IF(N45="","",IFERROR(VALUE(RIGHT(N45,1)),""))</f>
        <v/>
      </c>
      <c r="Y45" s="38">
        <f>IF(O45="","",IFERROR(VALUE(RIGHT(O45,1)),""))</f>
        <v/>
      </c>
      <c r="Z45" s="38">
        <f>IF(P45="","",IFERROR(VALUE(RIGHT(P45,1)),""))</f>
        <v/>
      </c>
      <c r="AA45" s="38">
        <f>IF(Q45="","",IFERROR(VALUE(RIGHT(Q45,1)),""))</f>
        <v/>
      </c>
      <c r="AB45" s="38">
        <f>IF(OR(M45="",W45=""),"",IFERROR(ROUND(440*2^((12*(W45+1)+IFERROR(MATCH(R45,{"C","C#","D","D#","E","F","F#","G","G#","A","A#","B"},0)-1,MATCH(R45,{"C","Db","D","Eb","E","F","Gb","G","Ab","A","Bb","B"},0)-1)-69)/12),2),""))</f>
        <v/>
      </c>
      <c r="AC45" s="38">
        <f>IF(OR(N45="",X45=""),"",IFERROR(ROUND(440*2^((12*(X45+1)+IFERROR(MATCH(S45,{"C","C#","D","D#","E","F","F#","G","G#","A","A#","B"},0)-1,MATCH(S45,{"C","Db","D","Eb","E","F","Gb","G","Ab","A","Bb","B"},0)-1)-69)/12),2),""))</f>
        <v/>
      </c>
      <c r="AD45" s="38">
        <f>IF(OR(O45="",Y45=""),"",IFERROR(ROUND(440*2^((12*(Y45+1)+IFERROR(MATCH(T45,{"C","C#","D","D#","E","F","F#","G","G#","A","A#","B"},0)-1,MATCH(T45,{"C","Db","D","Eb","E","F","Gb","G","Ab","A","Bb","B"},0)-1)-69)/12),2),""))</f>
        <v/>
      </c>
      <c r="AE45" s="38">
        <f>IF(OR(P45="",Z45=""),"",IFERROR(ROUND(440*2^((12*(Z45+1)+IFERROR(MATCH(U45,{"C","C#","D","D#","E","F","F#","G","G#","A","A#","B"},0)-1,MATCH(U45,{"C","Db","D","Eb","E","F","Gb","G","Ab","A","Bb","B"},0)-1)-69)/12),2),""))</f>
        <v/>
      </c>
      <c r="AF45" s="38">
        <f>IF(OR(Q45="",AA45=""),"",IFERROR(ROUND(440*2^((12*(AA45+1)+IFERROR(MATCH(V45,{"C","C#","D","D#","E","F","F#","G","G#","A","A#","B"},0)-1,MATCH(V45,{"C","Db","D","Eb","E","F","Gb","G","Ab","A","Bb","B"},0)-1)-69)/12),2),""))</f>
        <v/>
      </c>
      <c r="AG45" s="36" t="n"/>
      <c r="AH45" s="36" t="n"/>
      <c r="AI45" s="36" t="n"/>
      <c r="AJ45" s="36" t="inlineStr">
        <is>
          <t>Low</t>
        </is>
      </c>
      <c r="AK45" s="36" t="inlineStr">
        <is>
          <t>Low</t>
        </is>
      </c>
      <c r="AL45" s="35" t="n"/>
    </row>
    <row r="46">
      <c r="A46" s="35" t="inlineStr">
        <is>
          <t>TEST_005</t>
        </is>
      </c>
      <c r="B46" s="35" t="n">
        <v>4</v>
      </c>
      <c r="C46" s="36" t="n"/>
      <c r="D46" s="36" t="n"/>
      <c r="E46" s="36" t="n"/>
      <c r="F46" s="36" t="n">
        <v>2.79</v>
      </c>
      <c r="G46" s="36" t="n">
        <v>2.26</v>
      </c>
      <c r="H46" s="36" t="n"/>
      <c r="I46" s="36" t="n"/>
      <c r="J46" s="36" t="n"/>
      <c r="K46" s="36" t="n">
        <v>3.67</v>
      </c>
      <c r="L46" s="36" t="n">
        <v>2.81</v>
      </c>
      <c r="M46" s="36" t="n"/>
      <c r="N46" s="36" t="n"/>
      <c r="O46" s="36" t="n"/>
      <c r="P46" s="36" t="inlineStr">
        <is>
          <t>C4</t>
        </is>
      </c>
      <c r="Q46" s="36" t="inlineStr">
        <is>
          <t>A#3</t>
        </is>
      </c>
      <c r="R46" s="38">
        <f>IF(M46="","",LEFT(M46,LEN(M46)-1))</f>
        <v/>
      </c>
      <c r="S46" s="38">
        <f>IF(N46="","",LEFT(N46,LEN(N46)-1))</f>
        <v/>
      </c>
      <c r="T46" s="38">
        <f>IF(O46="","",LEFT(O46,LEN(O46)-1))</f>
        <v/>
      </c>
      <c r="U46" s="38">
        <f>IF(P46="","",LEFT(P46,LEN(P46)-1))</f>
        <v/>
      </c>
      <c r="V46" s="38">
        <f>IF(Q46="","",LEFT(Q46,LEN(Q46)-1))</f>
        <v/>
      </c>
      <c r="W46" s="38">
        <f>IF(M46="","",IFERROR(VALUE(RIGHT(M46,1)),""))</f>
        <v/>
      </c>
      <c r="X46" s="38">
        <f>IF(N46="","",IFERROR(VALUE(RIGHT(N46,1)),""))</f>
        <v/>
      </c>
      <c r="Y46" s="38">
        <f>IF(O46="","",IFERROR(VALUE(RIGHT(O46,1)),""))</f>
        <v/>
      </c>
      <c r="Z46" s="38">
        <f>IF(P46="","",IFERROR(VALUE(RIGHT(P46,1)),""))</f>
        <v/>
      </c>
      <c r="AA46" s="38">
        <f>IF(Q46="","",IFERROR(VALUE(RIGHT(Q46,1)),""))</f>
        <v/>
      </c>
      <c r="AB46" s="38">
        <f>IF(OR(M46="",W46=""),"",IFERROR(ROUND(440*2^((12*(W46+1)+IFERROR(MATCH(R46,{"C","C#","D","D#","E","F","F#","G","G#","A","A#","B"},0)-1,MATCH(R46,{"C","Db","D","Eb","E","F","Gb","G","Ab","A","Bb","B"},0)-1)-69)/12),2),""))</f>
        <v/>
      </c>
      <c r="AC46" s="38">
        <f>IF(OR(N46="",X46=""),"",IFERROR(ROUND(440*2^((12*(X46+1)+IFERROR(MATCH(S46,{"C","C#","D","D#","E","F","F#","G","G#","A","A#","B"},0)-1,MATCH(S46,{"C","Db","D","Eb","E","F","Gb","G","Ab","A","Bb","B"},0)-1)-69)/12),2),""))</f>
        <v/>
      </c>
      <c r="AD46" s="38">
        <f>IF(OR(O46="",Y46=""),"",IFERROR(ROUND(440*2^((12*(Y46+1)+IFERROR(MATCH(T46,{"C","C#","D","D#","E","F","F#","G","G#","A","A#","B"},0)-1,MATCH(T46,{"C","Db","D","Eb","E","F","Gb","G","Ab","A","Bb","B"},0)-1)-69)/12),2),""))</f>
        <v/>
      </c>
      <c r="AE46" s="38">
        <f>IF(OR(P46="",Z46=""),"",IFERROR(ROUND(440*2^((12*(Z46+1)+IFERROR(MATCH(U46,{"C","C#","D","D#","E","F","F#","G","G#","A","A#","B"},0)-1,MATCH(U46,{"C","Db","D","Eb","E","F","Gb","G","Ab","A","Bb","B"},0)-1)-69)/12),2),""))</f>
        <v/>
      </c>
      <c r="AF46" s="38">
        <f>IF(OR(Q46="",AA46=""),"",IFERROR(ROUND(440*2^((12*(AA46+1)+IFERROR(MATCH(V46,{"C","C#","D","D#","E","F","F#","G","G#","A","A#","B"},0)-1,MATCH(V46,{"C","Db","D","Eb","E","F","Gb","G","Ab","A","Bb","B"},0)-1)-69)/12),2),""))</f>
        <v/>
      </c>
      <c r="AG46" s="36" t="n"/>
      <c r="AH46" s="36" t="n"/>
      <c r="AI46" s="36" t="n"/>
      <c r="AJ46" s="36" t="inlineStr">
        <is>
          <t>Low</t>
        </is>
      </c>
      <c r="AK46" s="36" t="inlineStr">
        <is>
          <t>Medium</t>
        </is>
      </c>
      <c r="AL46" s="35" t="n"/>
    </row>
    <row r="47">
      <c r="A47" s="35" t="inlineStr">
        <is>
          <t>TEST_005</t>
        </is>
      </c>
      <c r="B47" s="35" t="n">
        <v>5</v>
      </c>
      <c r="C47" s="36" t="n"/>
      <c r="D47" s="36" t="n"/>
      <c r="E47" s="36" t="n"/>
      <c r="F47" s="36" t="n">
        <v>3.78</v>
      </c>
      <c r="G47" s="36" t="n">
        <v>3.96</v>
      </c>
      <c r="H47" s="36" t="n"/>
      <c r="I47" s="36" t="n"/>
      <c r="J47" s="36" t="n"/>
      <c r="K47" s="36" t="n">
        <v>3.93</v>
      </c>
      <c r="L47" s="36" t="n">
        <v>4.38</v>
      </c>
      <c r="M47" s="36" t="n"/>
      <c r="N47" s="36" t="n"/>
      <c r="O47" s="36" t="n"/>
      <c r="P47" s="36" t="inlineStr">
        <is>
          <t>B3</t>
        </is>
      </c>
      <c r="Q47" s="36" t="inlineStr">
        <is>
          <t>A#3</t>
        </is>
      </c>
      <c r="R47" s="38">
        <f>IF(M47="","",LEFT(M47,LEN(M47)-1))</f>
        <v/>
      </c>
      <c r="S47" s="38">
        <f>IF(N47="","",LEFT(N47,LEN(N47)-1))</f>
        <v/>
      </c>
      <c r="T47" s="38">
        <f>IF(O47="","",LEFT(O47,LEN(O47)-1))</f>
        <v/>
      </c>
      <c r="U47" s="38">
        <f>IF(P47="","",LEFT(P47,LEN(P47)-1))</f>
        <v/>
      </c>
      <c r="V47" s="38">
        <f>IF(Q47="","",LEFT(Q47,LEN(Q47)-1))</f>
        <v/>
      </c>
      <c r="W47" s="38">
        <f>IF(M47="","",IFERROR(VALUE(RIGHT(M47,1)),""))</f>
        <v/>
      </c>
      <c r="X47" s="38">
        <f>IF(N47="","",IFERROR(VALUE(RIGHT(N47,1)),""))</f>
        <v/>
      </c>
      <c r="Y47" s="38">
        <f>IF(O47="","",IFERROR(VALUE(RIGHT(O47,1)),""))</f>
        <v/>
      </c>
      <c r="Z47" s="38">
        <f>IF(P47="","",IFERROR(VALUE(RIGHT(P47,1)),""))</f>
        <v/>
      </c>
      <c r="AA47" s="38">
        <f>IF(Q47="","",IFERROR(VALUE(RIGHT(Q47,1)),""))</f>
        <v/>
      </c>
      <c r="AB47" s="38">
        <f>IF(OR(M47="",W47=""),"",IFERROR(ROUND(440*2^((12*(W47+1)+IFERROR(MATCH(R47,{"C","C#","D","D#","E","F","F#","G","G#","A","A#","B"},0)-1,MATCH(R47,{"C","Db","D","Eb","E","F","Gb","G","Ab","A","Bb","B"},0)-1)-69)/12),2),""))</f>
        <v/>
      </c>
      <c r="AC47" s="38">
        <f>IF(OR(N47="",X47=""),"",IFERROR(ROUND(440*2^((12*(X47+1)+IFERROR(MATCH(S47,{"C","C#","D","D#","E","F","F#","G","G#","A","A#","B"},0)-1,MATCH(S47,{"C","Db","D","Eb","E","F","Gb","G","Ab","A","Bb","B"},0)-1)-69)/12),2),""))</f>
        <v/>
      </c>
      <c r="AD47" s="38">
        <f>IF(OR(O47="",Y47=""),"",IFERROR(ROUND(440*2^((12*(Y47+1)+IFERROR(MATCH(T47,{"C","C#","D","D#","E","F","F#","G","G#","A","A#","B"},0)-1,MATCH(T47,{"C","Db","D","Eb","E","F","Gb","G","Ab","A","Bb","B"},0)-1)-69)/12),2),""))</f>
        <v/>
      </c>
      <c r="AE47" s="38">
        <f>IF(OR(P47="",Z47=""),"",IFERROR(ROUND(440*2^((12*(Z47+1)+IFERROR(MATCH(U47,{"C","C#","D","D#","E","F","F#","G","G#","A","A#","B"},0)-1,MATCH(U47,{"C","Db","D","Eb","E","F","Gb","G","Ab","A","Bb","B"},0)-1)-69)/12),2),""))</f>
        <v/>
      </c>
      <c r="AF47" s="38">
        <f>IF(OR(Q47="",AA47=""),"",IFERROR(ROUND(440*2^((12*(AA47+1)+IFERROR(MATCH(V47,{"C","C#","D","D#","E","F","F#","G","G#","A","A#","B"},0)-1,MATCH(V47,{"C","Db","D","Eb","E","F","Gb","G","Ab","A","Bb","B"},0)-1)-69)/12),2),""))</f>
        <v/>
      </c>
      <c r="AG47" s="36" t="n"/>
      <c r="AH47" s="36" t="n"/>
      <c r="AI47" s="36" t="n"/>
      <c r="AJ47" s="36" t="inlineStr">
        <is>
          <t>Low</t>
        </is>
      </c>
      <c r="AK47" s="36" t="inlineStr">
        <is>
          <t>Medium</t>
        </is>
      </c>
      <c r="AL47" s="35" t="n"/>
    </row>
    <row r="48">
      <c r="A48" s="35" t="inlineStr">
        <is>
          <t>TEST_005</t>
        </is>
      </c>
      <c r="B48" s="35" t="n">
        <v>6</v>
      </c>
      <c r="C48" s="36" t="n"/>
      <c r="D48" s="36" t="n"/>
      <c r="E48" s="36" t="n"/>
      <c r="F48" s="36" t="n">
        <v>3.94</v>
      </c>
      <c r="G48" s="36" t="n">
        <v>4.4</v>
      </c>
      <c r="H48" s="36" t="n"/>
      <c r="I48" s="36" t="n"/>
      <c r="J48" s="36" t="n"/>
      <c r="K48" s="36" t="n">
        <v>4.35</v>
      </c>
      <c r="L48" s="36" t="n">
        <v>4.57</v>
      </c>
      <c r="M48" s="36" t="n"/>
      <c r="N48" s="36" t="n"/>
      <c r="O48" s="36" t="n"/>
      <c r="P48" s="36" t="inlineStr">
        <is>
          <t>A#3</t>
        </is>
      </c>
      <c r="Q48" s="36" t="inlineStr">
        <is>
          <t>C4</t>
        </is>
      </c>
      <c r="R48" s="38">
        <f>IF(M48="","",LEFT(M48,LEN(M48)-1))</f>
        <v/>
      </c>
      <c r="S48" s="38">
        <f>IF(N48="","",LEFT(N48,LEN(N48)-1))</f>
        <v/>
      </c>
      <c r="T48" s="38">
        <f>IF(O48="","",LEFT(O48,LEN(O48)-1))</f>
        <v/>
      </c>
      <c r="U48" s="38">
        <f>IF(P48="","",LEFT(P48,LEN(P48)-1))</f>
        <v/>
      </c>
      <c r="V48" s="38">
        <f>IF(Q48="","",LEFT(Q48,LEN(Q48)-1))</f>
        <v/>
      </c>
      <c r="W48" s="38">
        <f>IF(M48="","",IFERROR(VALUE(RIGHT(M48,1)),""))</f>
        <v/>
      </c>
      <c r="X48" s="38">
        <f>IF(N48="","",IFERROR(VALUE(RIGHT(N48,1)),""))</f>
        <v/>
      </c>
      <c r="Y48" s="38">
        <f>IF(O48="","",IFERROR(VALUE(RIGHT(O48,1)),""))</f>
        <v/>
      </c>
      <c r="Z48" s="38">
        <f>IF(P48="","",IFERROR(VALUE(RIGHT(P48,1)),""))</f>
        <v/>
      </c>
      <c r="AA48" s="38">
        <f>IF(Q48="","",IFERROR(VALUE(RIGHT(Q48,1)),""))</f>
        <v/>
      </c>
      <c r="AB48" s="38">
        <f>IF(OR(M48="",W48=""),"",IFERROR(ROUND(440*2^((12*(W48+1)+IFERROR(MATCH(R48,{"C","C#","D","D#","E","F","F#","G","G#","A","A#","B"},0)-1,MATCH(R48,{"C","Db","D","Eb","E","F","Gb","G","Ab","A","Bb","B"},0)-1)-69)/12),2),""))</f>
        <v/>
      </c>
      <c r="AC48" s="38">
        <f>IF(OR(N48="",X48=""),"",IFERROR(ROUND(440*2^((12*(X48+1)+IFERROR(MATCH(S48,{"C","C#","D","D#","E","F","F#","G","G#","A","A#","B"},0)-1,MATCH(S48,{"C","Db","D","Eb","E","F","Gb","G","Ab","A","Bb","B"},0)-1)-69)/12),2),""))</f>
        <v/>
      </c>
      <c r="AD48" s="38">
        <f>IF(OR(O48="",Y48=""),"",IFERROR(ROUND(440*2^((12*(Y48+1)+IFERROR(MATCH(T48,{"C","C#","D","D#","E","F","F#","G","G#","A","A#","B"},0)-1,MATCH(T48,{"C","Db","D","Eb","E","F","Gb","G","Ab","A","Bb","B"},0)-1)-69)/12),2),""))</f>
        <v/>
      </c>
      <c r="AE48" s="38">
        <f>IF(OR(P48="",Z48=""),"",IFERROR(ROUND(440*2^((12*(Z48+1)+IFERROR(MATCH(U48,{"C","C#","D","D#","E","F","F#","G","G#","A","A#","B"},0)-1,MATCH(U48,{"C","Db","D","Eb","E","F","Gb","G","Ab","A","Bb","B"},0)-1)-69)/12),2),""))</f>
        <v/>
      </c>
      <c r="AF48" s="38">
        <f>IF(OR(Q48="",AA48=""),"",IFERROR(ROUND(440*2^((12*(AA48+1)+IFERROR(MATCH(V48,{"C","C#","D","D#","E","F","F#","G","G#","A","A#","B"},0)-1,MATCH(V48,{"C","Db","D","Eb","E","F","Gb","G","Ab","A","Bb","B"},0)-1)-69)/12),2),""))</f>
        <v/>
      </c>
      <c r="AG48" s="36" t="n"/>
      <c r="AH48" s="36" t="n"/>
      <c r="AI48" s="36" t="n"/>
      <c r="AJ48" s="36" t="inlineStr">
        <is>
          <t>Low</t>
        </is>
      </c>
      <c r="AK48" s="36" t="inlineStr">
        <is>
          <t>Medium</t>
        </is>
      </c>
      <c r="AL48" s="35" t="n"/>
    </row>
    <row r="49">
      <c r="A49" s="35" t="inlineStr">
        <is>
          <t>TEST_005</t>
        </is>
      </c>
      <c r="B49" s="35" t="n">
        <v>7</v>
      </c>
      <c r="C49" s="36" t="n"/>
      <c r="D49" s="36" t="n"/>
      <c r="E49" s="36" t="n"/>
      <c r="F49" s="36" t="n">
        <v>4.36</v>
      </c>
      <c r="G49" s="36" t="n">
        <v>6.29</v>
      </c>
      <c r="H49" s="36" t="n"/>
      <c r="I49" s="36" t="n"/>
      <c r="J49" s="36" t="n"/>
      <c r="K49" s="36" t="n">
        <v>4.56</v>
      </c>
      <c r="L49" s="36" t="n">
        <v>6.46</v>
      </c>
      <c r="M49" s="36" t="n"/>
      <c r="N49" s="36" t="n"/>
      <c r="O49" s="36" t="n"/>
      <c r="P49" s="36" t="inlineStr">
        <is>
          <t>C4</t>
        </is>
      </c>
      <c r="Q49" s="36" t="inlineStr">
        <is>
          <t>A#3</t>
        </is>
      </c>
      <c r="R49" s="38">
        <f>IF(M49="","",LEFT(M49,LEN(M49)-1))</f>
        <v/>
      </c>
      <c r="S49" s="38">
        <f>IF(N49="","",LEFT(N49,LEN(N49)-1))</f>
        <v/>
      </c>
      <c r="T49" s="38">
        <f>IF(O49="","",LEFT(O49,LEN(O49)-1))</f>
        <v/>
      </c>
      <c r="U49" s="38">
        <f>IF(P49="","",LEFT(P49,LEN(P49)-1))</f>
        <v/>
      </c>
      <c r="V49" s="38">
        <f>IF(Q49="","",LEFT(Q49,LEN(Q49)-1))</f>
        <v/>
      </c>
      <c r="W49" s="38">
        <f>IF(M49="","",IFERROR(VALUE(RIGHT(M49,1)),""))</f>
        <v/>
      </c>
      <c r="X49" s="38">
        <f>IF(N49="","",IFERROR(VALUE(RIGHT(N49,1)),""))</f>
        <v/>
      </c>
      <c r="Y49" s="38">
        <f>IF(O49="","",IFERROR(VALUE(RIGHT(O49,1)),""))</f>
        <v/>
      </c>
      <c r="Z49" s="38">
        <f>IF(P49="","",IFERROR(VALUE(RIGHT(P49,1)),""))</f>
        <v/>
      </c>
      <c r="AA49" s="38">
        <f>IF(Q49="","",IFERROR(VALUE(RIGHT(Q49,1)),""))</f>
        <v/>
      </c>
      <c r="AB49" s="38">
        <f>IF(OR(M49="",W49=""),"",IFERROR(ROUND(440*2^((12*(W49+1)+IFERROR(MATCH(R49,{"C","C#","D","D#","E","F","F#","G","G#","A","A#","B"},0)-1,MATCH(R49,{"C","Db","D","Eb","E","F","Gb","G","Ab","A","Bb","B"},0)-1)-69)/12),2),""))</f>
        <v/>
      </c>
      <c r="AC49" s="38">
        <f>IF(OR(N49="",X49=""),"",IFERROR(ROUND(440*2^((12*(X49+1)+IFERROR(MATCH(S49,{"C","C#","D","D#","E","F","F#","G","G#","A","A#","B"},0)-1,MATCH(S49,{"C","Db","D","Eb","E","F","Gb","G","Ab","A","Bb","B"},0)-1)-69)/12),2),""))</f>
        <v/>
      </c>
      <c r="AD49" s="38">
        <f>IF(OR(O49="",Y49=""),"",IFERROR(ROUND(440*2^((12*(Y49+1)+IFERROR(MATCH(T49,{"C","C#","D","D#","E","F","F#","G","G#","A","A#","B"},0)-1,MATCH(T49,{"C","Db","D","Eb","E","F","Gb","G","Ab","A","Bb","B"},0)-1)-69)/12),2),""))</f>
        <v/>
      </c>
      <c r="AE49" s="38">
        <f>IF(OR(P49="",Z49=""),"",IFERROR(ROUND(440*2^((12*(Z49+1)+IFERROR(MATCH(U49,{"C","C#","D","D#","E","F","F#","G","G#","A","A#","B"},0)-1,MATCH(U49,{"C","Db","D","Eb","E","F","Gb","G","Ab","A","Bb","B"},0)-1)-69)/12),2),""))</f>
        <v/>
      </c>
      <c r="AF49" s="38">
        <f>IF(OR(Q49="",AA49=""),"",IFERROR(ROUND(440*2^((12*(AA49+1)+IFERROR(MATCH(V49,{"C","C#","D","D#","E","F","F#","G","G#","A","A#","B"},0)-1,MATCH(V49,{"C","Db","D","Eb","E","F","Gb","G","Ab","A","Bb","B"},0)-1)-69)/12),2),""))</f>
        <v/>
      </c>
      <c r="AG49" s="36" t="n"/>
      <c r="AH49" s="36" t="n"/>
      <c r="AI49" s="36" t="n"/>
      <c r="AJ49" s="36" t="inlineStr">
        <is>
          <t>Low</t>
        </is>
      </c>
      <c r="AK49" s="36" t="inlineStr">
        <is>
          <t>Low</t>
        </is>
      </c>
      <c r="AL49" s="35" t="n"/>
    </row>
    <row r="50">
      <c r="A50" s="35" t="inlineStr">
        <is>
          <t>TEST_005</t>
        </is>
      </c>
      <c r="B50" s="35" t="n">
        <v>8</v>
      </c>
      <c r="C50" s="36" t="n"/>
      <c r="D50" s="36" t="n"/>
      <c r="E50" s="36" t="n"/>
      <c r="F50" s="36" t="n">
        <v>6.7</v>
      </c>
      <c r="G50" s="36" t="n">
        <v>6.77</v>
      </c>
      <c r="H50" s="36" t="n"/>
      <c r="I50" s="36" t="n"/>
      <c r="J50" s="36" t="n"/>
      <c r="K50" s="36" t="n">
        <v>6.97</v>
      </c>
      <c r="L50" s="36" t="n">
        <v>6.98</v>
      </c>
      <c r="M50" s="36" t="n"/>
      <c r="N50" s="36" t="n"/>
      <c r="O50" s="36" t="n"/>
      <c r="P50" s="36" t="inlineStr">
        <is>
          <t>F3</t>
        </is>
      </c>
      <c r="Q50" s="36" t="inlineStr">
        <is>
          <t>F3</t>
        </is>
      </c>
      <c r="R50" s="38">
        <f>IF(M50="","",LEFT(M50,LEN(M50)-1))</f>
        <v/>
      </c>
      <c r="S50" s="38">
        <f>IF(N50="","",LEFT(N50,LEN(N50)-1))</f>
        <v/>
      </c>
      <c r="T50" s="38">
        <f>IF(O50="","",LEFT(O50,LEN(O50)-1))</f>
        <v/>
      </c>
      <c r="U50" s="38">
        <f>IF(P50="","",LEFT(P50,LEN(P50)-1))</f>
        <v/>
      </c>
      <c r="V50" s="38">
        <f>IF(Q50="","",LEFT(Q50,LEN(Q50)-1))</f>
        <v/>
      </c>
      <c r="W50" s="38">
        <f>IF(M50="","",IFERROR(VALUE(RIGHT(M50,1)),""))</f>
        <v/>
      </c>
      <c r="X50" s="38">
        <f>IF(N50="","",IFERROR(VALUE(RIGHT(N50,1)),""))</f>
        <v/>
      </c>
      <c r="Y50" s="38">
        <f>IF(O50="","",IFERROR(VALUE(RIGHT(O50,1)),""))</f>
        <v/>
      </c>
      <c r="Z50" s="38">
        <f>IF(P50="","",IFERROR(VALUE(RIGHT(P50,1)),""))</f>
        <v/>
      </c>
      <c r="AA50" s="38">
        <f>IF(Q50="","",IFERROR(VALUE(RIGHT(Q50,1)),""))</f>
        <v/>
      </c>
      <c r="AB50" s="38">
        <f>IF(OR(M50="",W50=""),"",IFERROR(ROUND(440*2^((12*(W50+1)+IFERROR(MATCH(R50,{"C","C#","D","D#","E","F","F#","G","G#","A","A#","B"},0)-1,MATCH(R50,{"C","Db","D","Eb","E","F","Gb","G","Ab","A","Bb","B"},0)-1)-69)/12),2),""))</f>
        <v/>
      </c>
      <c r="AC50" s="38">
        <f>IF(OR(N50="",X50=""),"",IFERROR(ROUND(440*2^((12*(X50+1)+IFERROR(MATCH(S50,{"C","C#","D","D#","E","F","F#","G","G#","A","A#","B"},0)-1,MATCH(S50,{"C","Db","D","Eb","E","F","Gb","G","Ab","A","Bb","B"},0)-1)-69)/12),2),""))</f>
        <v/>
      </c>
      <c r="AD50" s="38">
        <f>IF(OR(O50="",Y50=""),"",IFERROR(ROUND(440*2^((12*(Y50+1)+IFERROR(MATCH(T50,{"C","C#","D","D#","E","F","F#","G","G#","A","A#","B"},0)-1,MATCH(T50,{"C","Db","D","Eb","E","F","Gb","G","Ab","A","Bb","B"},0)-1)-69)/12),2),""))</f>
        <v/>
      </c>
      <c r="AE50" s="38">
        <f>IF(OR(P50="",Z50=""),"",IFERROR(ROUND(440*2^((12*(Z50+1)+IFERROR(MATCH(U50,{"C","C#","D","D#","E","F","F#","G","G#","A","A#","B"},0)-1,MATCH(U50,{"C","Db","D","Eb","E","F","Gb","G","Ab","A","Bb","B"},0)-1)-69)/12),2),""))</f>
        <v/>
      </c>
      <c r="AF50" s="38">
        <f>IF(OR(Q50="",AA50=""),"",IFERROR(ROUND(440*2^((12*(AA50+1)+IFERROR(MATCH(V50,{"C","C#","D","D#","E","F","F#","G","G#","A","A#","B"},0)-1,MATCH(V50,{"C","Db","D","Eb","E","F","Gb","G","Ab","A","Bb","B"},0)-1)-69)/12),2),""))</f>
        <v/>
      </c>
      <c r="AG50" s="36" t="n"/>
      <c r="AH50" s="36" t="n"/>
      <c r="AI50" s="36" t="n"/>
      <c r="AJ50" s="36" t="inlineStr">
        <is>
          <t>Low</t>
        </is>
      </c>
      <c r="AK50" s="36" t="inlineStr">
        <is>
          <t>Low</t>
        </is>
      </c>
      <c r="AL50" s="35" t="n"/>
    </row>
    <row r="51">
      <c r="A51" s="35" t="inlineStr">
        <is>
          <t>TEST_005</t>
        </is>
      </c>
      <c r="B51" s="35" t="n">
        <v>9</v>
      </c>
      <c r="C51" s="36" t="n"/>
      <c r="D51" s="36" t="n"/>
      <c r="E51" s="36" t="n"/>
      <c r="F51" s="36" t="n">
        <v>7.07</v>
      </c>
      <c r="G51" s="36" t="n">
        <v>7.7</v>
      </c>
      <c r="H51" s="36" t="n"/>
      <c r="I51" s="36" t="n"/>
      <c r="J51" s="36" t="n"/>
      <c r="K51" s="36" t="n">
        <v>7.43</v>
      </c>
      <c r="L51" s="36" t="n">
        <v>7.85</v>
      </c>
      <c r="M51" s="36" t="n"/>
      <c r="N51" s="36" t="n"/>
      <c r="O51" s="36" t="n"/>
      <c r="P51" s="36" t="inlineStr">
        <is>
          <t>A#3</t>
        </is>
      </c>
      <c r="Q51" s="36" t="inlineStr">
        <is>
          <t>D#3</t>
        </is>
      </c>
      <c r="R51" s="38">
        <f>IF(M51="","",LEFT(M51,LEN(M51)-1))</f>
        <v/>
      </c>
      <c r="S51" s="38">
        <f>IF(N51="","",LEFT(N51,LEN(N51)-1))</f>
        <v/>
      </c>
      <c r="T51" s="38">
        <f>IF(O51="","",LEFT(O51,LEN(O51)-1))</f>
        <v/>
      </c>
      <c r="U51" s="38">
        <f>IF(P51="","",LEFT(P51,LEN(P51)-1))</f>
        <v/>
      </c>
      <c r="V51" s="38">
        <f>IF(Q51="","",LEFT(Q51,LEN(Q51)-1))</f>
        <v/>
      </c>
      <c r="W51" s="38">
        <f>IF(M51="","",IFERROR(VALUE(RIGHT(M51,1)),""))</f>
        <v/>
      </c>
      <c r="X51" s="38">
        <f>IF(N51="","",IFERROR(VALUE(RIGHT(N51,1)),""))</f>
        <v/>
      </c>
      <c r="Y51" s="38">
        <f>IF(O51="","",IFERROR(VALUE(RIGHT(O51,1)),""))</f>
        <v/>
      </c>
      <c r="Z51" s="38">
        <f>IF(P51="","",IFERROR(VALUE(RIGHT(P51,1)),""))</f>
        <v/>
      </c>
      <c r="AA51" s="38">
        <f>IF(Q51="","",IFERROR(VALUE(RIGHT(Q51,1)),""))</f>
        <v/>
      </c>
      <c r="AB51" s="38">
        <f>IF(OR(M51="",W51=""),"",IFERROR(ROUND(440*2^((12*(W51+1)+IFERROR(MATCH(R51,{"C","C#","D","D#","E","F","F#","G","G#","A","A#","B"},0)-1,MATCH(R51,{"C","Db","D","Eb","E","F","Gb","G","Ab","A","Bb","B"},0)-1)-69)/12),2),""))</f>
        <v/>
      </c>
      <c r="AC51" s="38">
        <f>IF(OR(N51="",X51=""),"",IFERROR(ROUND(440*2^((12*(X51+1)+IFERROR(MATCH(S51,{"C","C#","D","D#","E","F","F#","G","G#","A","A#","B"},0)-1,MATCH(S51,{"C","Db","D","Eb","E","F","Gb","G","Ab","A","Bb","B"},0)-1)-69)/12),2),""))</f>
        <v/>
      </c>
      <c r="AD51" s="38">
        <f>IF(OR(O51="",Y51=""),"",IFERROR(ROUND(440*2^((12*(Y51+1)+IFERROR(MATCH(T51,{"C","C#","D","D#","E","F","F#","G","G#","A","A#","B"},0)-1,MATCH(T51,{"C","Db","D","Eb","E","F","Gb","G","Ab","A","Bb","B"},0)-1)-69)/12),2),""))</f>
        <v/>
      </c>
      <c r="AE51" s="38">
        <f>IF(OR(P51="",Z51=""),"",IFERROR(ROUND(440*2^((12*(Z51+1)+IFERROR(MATCH(U51,{"C","C#","D","D#","E","F","F#","G","G#","A","A#","B"},0)-1,MATCH(U51,{"C","Db","D","Eb","E","F","Gb","G","Ab","A","Bb","B"},0)-1)-69)/12),2),""))</f>
        <v/>
      </c>
      <c r="AF51" s="38">
        <f>IF(OR(Q51="",AA51=""),"",IFERROR(ROUND(440*2^((12*(AA51+1)+IFERROR(MATCH(V51,{"C","C#","D","D#","E","F","F#","G","G#","A","A#","B"},0)-1,MATCH(V51,{"C","Db","D","Eb","E","F","Gb","G","Ab","A","Bb","B"},0)-1)-69)/12),2),""))</f>
        <v/>
      </c>
      <c r="AG51" s="36" t="n"/>
      <c r="AH51" s="36" t="n"/>
      <c r="AI51" s="36" t="n"/>
      <c r="AJ51" s="36" t="inlineStr">
        <is>
          <t>Low</t>
        </is>
      </c>
      <c r="AK51" s="36" t="inlineStr">
        <is>
          <t>Low</t>
        </is>
      </c>
      <c r="AL51" s="35" t="n"/>
    </row>
    <row r="52">
      <c r="A52" s="35" t="inlineStr">
        <is>
          <t>TEST_005</t>
        </is>
      </c>
      <c r="B52" s="35" t="n">
        <v>10</v>
      </c>
      <c r="C52" s="36" t="n"/>
      <c r="D52" s="36" t="n"/>
      <c r="E52" s="36" t="n"/>
      <c r="F52" s="36" t="n">
        <v>7.44</v>
      </c>
      <c r="G52" s="36" t="n">
        <v>7.87</v>
      </c>
      <c r="H52" s="36" t="n"/>
      <c r="I52" s="36" t="n"/>
      <c r="J52" s="36" t="n"/>
      <c r="K52" s="36" t="n">
        <v>7.57</v>
      </c>
      <c r="L52" s="36" t="n">
        <v>8.08</v>
      </c>
      <c r="M52" s="36" t="n"/>
      <c r="N52" s="36" t="n"/>
      <c r="O52" s="36" t="n"/>
      <c r="P52" s="36" t="inlineStr">
        <is>
          <t>F#3</t>
        </is>
      </c>
      <c r="Q52" s="36" t="inlineStr">
        <is>
          <t>D#3</t>
        </is>
      </c>
      <c r="R52" s="38">
        <f>IF(M52="","",LEFT(M52,LEN(M52)-1))</f>
        <v/>
      </c>
      <c r="S52" s="38">
        <f>IF(N52="","",LEFT(N52,LEN(N52)-1))</f>
        <v/>
      </c>
      <c r="T52" s="38">
        <f>IF(O52="","",LEFT(O52,LEN(O52)-1))</f>
        <v/>
      </c>
      <c r="U52" s="38">
        <f>IF(P52="","",LEFT(P52,LEN(P52)-1))</f>
        <v/>
      </c>
      <c r="V52" s="38">
        <f>IF(Q52="","",LEFT(Q52,LEN(Q52)-1))</f>
        <v/>
      </c>
      <c r="W52" s="38">
        <f>IF(M52="","",IFERROR(VALUE(RIGHT(M52,1)),""))</f>
        <v/>
      </c>
      <c r="X52" s="38">
        <f>IF(N52="","",IFERROR(VALUE(RIGHT(N52,1)),""))</f>
        <v/>
      </c>
      <c r="Y52" s="38">
        <f>IF(O52="","",IFERROR(VALUE(RIGHT(O52,1)),""))</f>
        <v/>
      </c>
      <c r="Z52" s="38">
        <f>IF(P52="","",IFERROR(VALUE(RIGHT(P52,1)),""))</f>
        <v/>
      </c>
      <c r="AA52" s="38">
        <f>IF(Q52="","",IFERROR(VALUE(RIGHT(Q52,1)),""))</f>
        <v/>
      </c>
      <c r="AB52" s="38">
        <f>IF(OR(M52="",W52=""),"",IFERROR(ROUND(440*2^((12*(W52+1)+IFERROR(MATCH(R52,{"C","C#","D","D#","E","F","F#","G","G#","A","A#","B"},0)-1,MATCH(R52,{"C","Db","D","Eb","E","F","Gb","G","Ab","A","Bb","B"},0)-1)-69)/12),2),""))</f>
        <v/>
      </c>
      <c r="AC52" s="38">
        <f>IF(OR(N52="",X52=""),"",IFERROR(ROUND(440*2^((12*(X52+1)+IFERROR(MATCH(S52,{"C","C#","D","D#","E","F","F#","G","G#","A","A#","B"},0)-1,MATCH(S52,{"C","Db","D","Eb","E","F","Gb","G","Ab","A","Bb","B"},0)-1)-69)/12),2),""))</f>
        <v/>
      </c>
      <c r="AD52" s="38">
        <f>IF(OR(O52="",Y52=""),"",IFERROR(ROUND(440*2^((12*(Y52+1)+IFERROR(MATCH(T52,{"C","C#","D","D#","E","F","F#","G","G#","A","A#","B"},0)-1,MATCH(T52,{"C","Db","D","Eb","E","F","Gb","G","Ab","A","Bb","B"},0)-1)-69)/12),2),""))</f>
        <v/>
      </c>
      <c r="AE52" s="38">
        <f>IF(OR(P52="",Z52=""),"",IFERROR(ROUND(440*2^((12*(Z52+1)+IFERROR(MATCH(U52,{"C","C#","D","D#","E","F","F#","G","G#","A","A#","B"},0)-1,MATCH(U52,{"C","Db","D","Eb","E","F","Gb","G","Ab","A","Bb","B"},0)-1)-69)/12),2),""))</f>
        <v/>
      </c>
      <c r="AF52" s="38">
        <f>IF(OR(Q52="",AA52=""),"",IFERROR(ROUND(440*2^((12*(AA52+1)+IFERROR(MATCH(V52,{"C","C#","D","D#","E","F","F#","G","G#","A","A#","B"},0)-1,MATCH(V52,{"C","Db","D","Eb","E","F","Gb","G","Ab","A","Bb","B"},0)-1)-69)/12),2),""))</f>
        <v/>
      </c>
      <c r="AG52" s="36" t="n"/>
      <c r="AH52" s="36" t="n"/>
      <c r="AI52" s="36" t="n"/>
      <c r="AJ52" s="36" t="inlineStr">
        <is>
          <t>Low</t>
        </is>
      </c>
      <c r="AK52" s="36" t="inlineStr">
        <is>
          <t>Low</t>
        </is>
      </c>
      <c r="AL52" s="35" t="n"/>
    </row>
    <row r="53">
      <c r="A53" s="35" t="inlineStr">
        <is>
          <t>TEST_006</t>
        </is>
      </c>
      <c r="B53" s="35" t="n">
        <v>1</v>
      </c>
      <c r="C53" s="36" t="n"/>
      <c r="D53" s="36" t="n"/>
      <c r="E53" s="36" t="n"/>
      <c r="F53" s="36" t="n">
        <v>3.46</v>
      </c>
      <c r="G53" s="36" t="n">
        <v>0.05</v>
      </c>
      <c r="H53" s="36" t="n"/>
      <c r="I53" s="36" t="n"/>
      <c r="J53" s="36" t="n"/>
      <c r="K53" s="36" t="n">
        <v>3.59</v>
      </c>
      <c r="L53" s="36" t="n">
        <v>1.72</v>
      </c>
      <c r="M53" s="36" t="n"/>
      <c r="N53" s="36" t="inlineStr">
        <is>
          <t>N/A</t>
        </is>
      </c>
      <c r="O53" s="36" t="inlineStr">
        <is>
          <t>N/A</t>
        </is>
      </c>
      <c r="P53" s="36" t="inlineStr">
        <is>
          <t>G3</t>
        </is>
      </c>
      <c r="Q53" s="36" t="inlineStr">
        <is>
          <t>G2</t>
        </is>
      </c>
      <c r="R53" s="38">
        <f>IF(M53="","",LEFT(M53,LEN(M53)-1))</f>
        <v/>
      </c>
      <c r="S53" s="38">
        <f>IF(N53="","",LEFT(N53,LEN(N53)-1))</f>
        <v/>
      </c>
      <c r="T53" s="38">
        <f>IF(O53="","",LEFT(O53,LEN(O53)-1))</f>
        <v/>
      </c>
      <c r="U53" s="38">
        <f>IF(P53="","",LEFT(P53,LEN(P53)-1))</f>
        <v/>
      </c>
      <c r="V53" s="38">
        <f>IF(Q53="","",LEFT(Q53,LEN(Q53)-1))</f>
        <v/>
      </c>
      <c r="W53" s="38">
        <f>IF(M53="","",IFERROR(VALUE(RIGHT(M53,1)),""))</f>
        <v/>
      </c>
      <c r="X53" s="38">
        <f>IF(N53="","",IFERROR(VALUE(RIGHT(N53,1)),""))</f>
        <v/>
      </c>
      <c r="Y53" s="38">
        <f>IF(O53="","",IFERROR(VALUE(RIGHT(O53,1)),""))</f>
        <v/>
      </c>
      <c r="Z53" s="38">
        <f>IF(P53="","",IFERROR(VALUE(RIGHT(P53,1)),""))</f>
        <v/>
      </c>
      <c r="AA53" s="38">
        <f>IF(Q53="","",IFERROR(VALUE(RIGHT(Q53,1)),""))</f>
        <v/>
      </c>
      <c r="AB53" s="38">
        <f>IF(OR(M53="",W53=""),"",IFERROR(ROUND(440*2^((12*(W53+1)+IFERROR(MATCH(R53,{"C","C#","D","D#","E","F","F#","G","G#","A","A#","B"},0)-1,MATCH(R53,{"C","Db","D","Eb","E","F","Gb","G","Ab","A","Bb","B"},0)-1)-69)/12),2),""))</f>
        <v/>
      </c>
      <c r="AC53" s="38">
        <f>IF(OR(N53="",X53=""),"",IFERROR(ROUND(440*2^((12*(X53+1)+IFERROR(MATCH(S53,{"C","C#","D","D#","E","F","F#","G","G#","A","A#","B"},0)-1,MATCH(S53,{"C","Db","D","Eb","E","F","Gb","G","Ab","A","Bb","B"},0)-1)-69)/12),2),""))</f>
        <v/>
      </c>
      <c r="AD53" s="38">
        <f>IF(OR(O53="",Y53=""),"",IFERROR(ROUND(440*2^((12*(Y53+1)+IFERROR(MATCH(T53,{"C","C#","D","D#","E","F","F#","G","G#","A","A#","B"},0)-1,MATCH(T53,{"C","Db","D","Eb","E","F","Gb","G","Ab","A","Bb","B"},0)-1)-69)/12),2),""))</f>
        <v/>
      </c>
      <c r="AE53" s="38">
        <f>IF(OR(P53="",Z53=""),"",IFERROR(ROUND(440*2^((12*(Z53+1)+IFERROR(MATCH(U53,{"C","C#","D","D#","E","F","F#","G","G#","A","A#","B"},0)-1,MATCH(U53,{"C","Db","D","Eb","E","F","Gb","G","Ab","A","Bb","B"},0)-1)-69)/12),2),""))</f>
        <v/>
      </c>
      <c r="AF53" s="38">
        <f>IF(OR(Q53="",AA53=""),"",IFERROR(ROUND(440*2^((12*(AA53+1)+IFERROR(MATCH(V53,{"C","C#","D","D#","E","F","F#","G","G#","A","A#","B"},0)-1,MATCH(V53,{"C","Db","D","Eb","E","F","Gb","G","Ab","A","Bb","B"},0)-1)-69)/12),2),""))</f>
        <v/>
      </c>
      <c r="AG53" s="36" t="n"/>
      <c r="AH53" s="36" t="n"/>
      <c r="AI53" s="36" t="n"/>
      <c r="AJ53" s="36" t="inlineStr">
        <is>
          <t>Low</t>
        </is>
      </c>
      <c r="AK53" s="36" t="inlineStr">
        <is>
          <t>Low</t>
        </is>
      </c>
      <c r="AL5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54">
      <c r="A54" s="35" t="inlineStr">
        <is>
          <t>TEST_006</t>
        </is>
      </c>
      <c r="B54" s="35" t="n">
        <v>2</v>
      </c>
      <c r="C54" s="36" t="n"/>
      <c r="D54" s="36" t="n"/>
      <c r="E54" s="36" t="n"/>
      <c r="F54" s="36" t="n">
        <v>3.95</v>
      </c>
      <c r="G54" s="36" t="n">
        <v>3.04</v>
      </c>
      <c r="H54" s="36" t="n"/>
      <c r="I54" s="36" t="n"/>
      <c r="J54" s="36" t="n"/>
      <c r="K54" s="36" t="n">
        <v>4.11</v>
      </c>
      <c r="L54" s="36" t="n">
        <v>3.18</v>
      </c>
      <c r="M54" s="36" t="n"/>
      <c r="N54" s="36" t="n"/>
      <c r="O54" s="36" t="n"/>
      <c r="P54" s="36" t="inlineStr">
        <is>
          <t>D4</t>
        </is>
      </c>
      <c r="Q54" s="36" t="inlineStr">
        <is>
          <t>G2</t>
        </is>
      </c>
      <c r="R54" s="38">
        <f>IF(M54="","",LEFT(M54,LEN(M54)-1))</f>
        <v/>
      </c>
      <c r="S54" s="38">
        <f>IF(N54="","",LEFT(N54,LEN(N54)-1))</f>
        <v/>
      </c>
      <c r="T54" s="38">
        <f>IF(O54="","",LEFT(O54,LEN(O54)-1))</f>
        <v/>
      </c>
      <c r="U54" s="38">
        <f>IF(P54="","",LEFT(P54,LEN(P54)-1))</f>
        <v/>
      </c>
      <c r="V54" s="38">
        <f>IF(Q54="","",LEFT(Q54,LEN(Q54)-1))</f>
        <v/>
      </c>
      <c r="W54" s="38">
        <f>IF(M54="","",IFERROR(VALUE(RIGHT(M54,1)),""))</f>
        <v/>
      </c>
      <c r="X54" s="38">
        <f>IF(N54="","",IFERROR(VALUE(RIGHT(N54,1)),""))</f>
        <v/>
      </c>
      <c r="Y54" s="38">
        <f>IF(O54="","",IFERROR(VALUE(RIGHT(O54,1)),""))</f>
        <v/>
      </c>
      <c r="Z54" s="38">
        <f>IF(P54="","",IFERROR(VALUE(RIGHT(P54,1)),""))</f>
        <v/>
      </c>
      <c r="AA54" s="38">
        <f>IF(Q54="","",IFERROR(VALUE(RIGHT(Q54,1)),""))</f>
        <v/>
      </c>
      <c r="AB54" s="38">
        <f>IF(OR(M54="",W54=""),"",IFERROR(ROUND(440*2^((12*(W54+1)+IFERROR(MATCH(R54,{"C","C#","D","D#","E","F","F#","G","G#","A","A#","B"},0)-1,MATCH(R54,{"C","Db","D","Eb","E","F","Gb","G","Ab","A","Bb","B"},0)-1)-69)/12),2),""))</f>
        <v/>
      </c>
      <c r="AC54" s="38">
        <f>IF(OR(N54="",X54=""),"",IFERROR(ROUND(440*2^((12*(X54+1)+IFERROR(MATCH(S54,{"C","C#","D","D#","E","F","F#","G","G#","A","A#","B"},0)-1,MATCH(S54,{"C","Db","D","Eb","E","F","Gb","G","Ab","A","Bb","B"},0)-1)-69)/12),2),""))</f>
        <v/>
      </c>
      <c r="AD54" s="38">
        <f>IF(OR(O54="",Y54=""),"",IFERROR(ROUND(440*2^((12*(Y54+1)+IFERROR(MATCH(T54,{"C","C#","D","D#","E","F","F#","G","G#","A","A#","B"},0)-1,MATCH(T54,{"C","Db","D","Eb","E","F","Gb","G","Ab","A","Bb","B"},0)-1)-69)/12),2),""))</f>
        <v/>
      </c>
      <c r="AE54" s="38">
        <f>IF(OR(P54="",Z54=""),"",IFERROR(ROUND(440*2^((12*(Z54+1)+IFERROR(MATCH(U54,{"C","C#","D","D#","E","F","F#","G","G#","A","A#","B"},0)-1,MATCH(U54,{"C","Db","D","Eb","E","F","Gb","G","Ab","A","Bb","B"},0)-1)-69)/12),2),""))</f>
        <v/>
      </c>
      <c r="AF54" s="38">
        <f>IF(OR(Q54="",AA54=""),"",IFERROR(ROUND(440*2^((12*(AA54+1)+IFERROR(MATCH(V54,{"C","C#","D","D#","E","F","F#","G","G#","A","A#","B"},0)-1,MATCH(V54,{"C","Db","D","Eb","E","F","Gb","G","Ab","A","Bb","B"},0)-1)-69)/12),2),""))</f>
        <v/>
      </c>
      <c r="AG54" s="36" t="n"/>
      <c r="AH54" s="36" t="n"/>
      <c r="AI54" s="36" t="n"/>
      <c r="AJ54" s="36" t="inlineStr">
        <is>
          <t>Low</t>
        </is>
      </c>
      <c r="AK54" s="36" t="inlineStr">
        <is>
          <t>Low</t>
        </is>
      </c>
      <c r="AL54" s="35" t="n"/>
    </row>
    <row r="55">
      <c r="A55" s="35" t="inlineStr">
        <is>
          <t>TEST_006</t>
        </is>
      </c>
      <c r="B55" s="35" t="n">
        <v>3</v>
      </c>
      <c r="C55" s="36" t="n"/>
      <c r="D55" s="36" t="n"/>
      <c r="E55" s="36" t="n"/>
      <c r="F55" s="36" t="n">
        <v>6.02</v>
      </c>
      <c r="G55" s="36" t="n">
        <v>3.44</v>
      </c>
      <c r="H55" s="36" t="n"/>
      <c r="I55" s="36" t="n"/>
      <c r="J55" s="36" t="n"/>
      <c r="K55" s="36" t="n">
        <v>6.22</v>
      </c>
      <c r="L55" s="36" t="n">
        <v>3.63</v>
      </c>
      <c r="M55" s="36" t="n"/>
      <c r="N55" s="36" t="n"/>
      <c r="O55" s="36" t="n"/>
      <c r="P55" s="36" t="inlineStr">
        <is>
          <t>B3</t>
        </is>
      </c>
      <c r="Q55" s="36" t="inlineStr">
        <is>
          <t>G3</t>
        </is>
      </c>
      <c r="R55" s="38">
        <f>IF(M55="","",LEFT(M55,LEN(M55)-1))</f>
        <v/>
      </c>
      <c r="S55" s="38">
        <f>IF(N55="","",LEFT(N55,LEN(N55)-1))</f>
        <v/>
      </c>
      <c r="T55" s="38">
        <f>IF(O55="","",LEFT(O55,LEN(O55)-1))</f>
        <v/>
      </c>
      <c r="U55" s="38">
        <f>IF(P55="","",LEFT(P55,LEN(P55)-1))</f>
        <v/>
      </c>
      <c r="V55" s="38">
        <f>IF(Q55="","",LEFT(Q55,LEN(Q55)-1))</f>
        <v/>
      </c>
      <c r="W55" s="38">
        <f>IF(M55="","",IFERROR(VALUE(RIGHT(M55,1)),""))</f>
        <v/>
      </c>
      <c r="X55" s="38">
        <f>IF(N55="","",IFERROR(VALUE(RIGHT(N55,1)),""))</f>
        <v/>
      </c>
      <c r="Y55" s="38">
        <f>IF(O55="","",IFERROR(VALUE(RIGHT(O55,1)),""))</f>
        <v/>
      </c>
      <c r="Z55" s="38">
        <f>IF(P55="","",IFERROR(VALUE(RIGHT(P55,1)),""))</f>
        <v/>
      </c>
      <c r="AA55" s="38">
        <f>IF(Q55="","",IFERROR(VALUE(RIGHT(Q55,1)),""))</f>
        <v/>
      </c>
      <c r="AB55" s="38">
        <f>IF(OR(M55="",W55=""),"",IFERROR(ROUND(440*2^((12*(W55+1)+IFERROR(MATCH(R55,{"C","C#","D","D#","E","F","F#","G","G#","A","A#","B"},0)-1,MATCH(R55,{"C","Db","D","Eb","E","F","Gb","G","Ab","A","Bb","B"},0)-1)-69)/12),2),""))</f>
        <v/>
      </c>
      <c r="AC55" s="38">
        <f>IF(OR(N55="",X55=""),"",IFERROR(ROUND(440*2^((12*(X55+1)+IFERROR(MATCH(S55,{"C","C#","D","D#","E","F","F#","G","G#","A","A#","B"},0)-1,MATCH(S55,{"C","Db","D","Eb","E","F","Gb","G","Ab","A","Bb","B"},0)-1)-69)/12),2),""))</f>
        <v/>
      </c>
      <c r="AD55" s="38">
        <f>IF(OR(O55="",Y55=""),"",IFERROR(ROUND(440*2^((12*(Y55+1)+IFERROR(MATCH(T55,{"C","C#","D","D#","E","F","F#","G","G#","A","A#","B"},0)-1,MATCH(T55,{"C","Db","D","Eb","E","F","Gb","G","Ab","A","Bb","B"},0)-1)-69)/12),2),""))</f>
        <v/>
      </c>
      <c r="AE55" s="38">
        <f>IF(OR(P55="",Z55=""),"",IFERROR(ROUND(440*2^((12*(Z55+1)+IFERROR(MATCH(U55,{"C","C#","D","D#","E","F","F#","G","G#","A","A#","B"},0)-1,MATCH(U55,{"C","Db","D","Eb","E","F","Gb","G","Ab","A","Bb","B"},0)-1)-69)/12),2),""))</f>
        <v/>
      </c>
      <c r="AF55" s="38">
        <f>IF(OR(Q55="",AA55=""),"",IFERROR(ROUND(440*2^((12*(AA55+1)+IFERROR(MATCH(V55,{"C","C#","D","D#","E","F","F#","G","G#","A","A#","B"},0)-1,MATCH(V55,{"C","Db","D","Eb","E","F","Gb","G","Ab","A","Bb","B"},0)-1)-69)/12),2),""))</f>
        <v/>
      </c>
      <c r="AG55" s="36" t="n"/>
      <c r="AH55" s="36" t="n"/>
      <c r="AI55" s="36" t="n"/>
      <c r="AJ55" s="36" t="inlineStr">
        <is>
          <t>Low</t>
        </is>
      </c>
      <c r="AK55" s="36" t="inlineStr">
        <is>
          <t>Low</t>
        </is>
      </c>
      <c r="AL55" s="35" t="n"/>
    </row>
    <row r="56">
      <c r="A56" s="35" t="inlineStr">
        <is>
          <t>TEST_006</t>
        </is>
      </c>
      <c r="B56" s="35" t="n">
        <v>4</v>
      </c>
      <c r="C56" s="36" t="n"/>
      <c r="D56" s="36" t="n"/>
      <c r="E56" s="36" t="n"/>
      <c r="F56" s="36" t="n">
        <v>6.49</v>
      </c>
      <c r="G56" s="36" t="n">
        <v>3.76</v>
      </c>
      <c r="H56" s="36" t="n"/>
      <c r="I56" s="36" t="n"/>
      <c r="J56" s="36" t="n"/>
      <c r="K56" s="36" t="n">
        <v>6.8</v>
      </c>
      <c r="L56" s="36" t="n">
        <v>3.89</v>
      </c>
      <c r="M56" s="36" t="n"/>
      <c r="N56" s="36" t="n"/>
      <c r="O56" s="36" t="n"/>
      <c r="P56" s="36" t="inlineStr">
        <is>
          <t>E4</t>
        </is>
      </c>
      <c r="Q56" s="36" t="inlineStr">
        <is>
          <t>B3</t>
        </is>
      </c>
      <c r="R56" s="38">
        <f>IF(M56="","",LEFT(M56,LEN(M56)-1))</f>
        <v/>
      </c>
      <c r="S56" s="38">
        <f>IF(N56="","",LEFT(N56,LEN(N56)-1))</f>
        <v/>
      </c>
      <c r="T56" s="38">
        <f>IF(O56="","",LEFT(O56,LEN(O56)-1))</f>
        <v/>
      </c>
      <c r="U56" s="38">
        <f>IF(P56="","",LEFT(P56,LEN(P56)-1))</f>
        <v/>
      </c>
      <c r="V56" s="38">
        <f>IF(Q56="","",LEFT(Q56,LEN(Q56)-1))</f>
        <v/>
      </c>
      <c r="W56" s="38">
        <f>IF(M56="","",IFERROR(VALUE(RIGHT(M56,1)),""))</f>
        <v/>
      </c>
      <c r="X56" s="38">
        <f>IF(N56="","",IFERROR(VALUE(RIGHT(N56,1)),""))</f>
        <v/>
      </c>
      <c r="Y56" s="38">
        <f>IF(O56="","",IFERROR(VALUE(RIGHT(O56,1)),""))</f>
        <v/>
      </c>
      <c r="Z56" s="38">
        <f>IF(P56="","",IFERROR(VALUE(RIGHT(P56,1)),""))</f>
        <v/>
      </c>
      <c r="AA56" s="38">
        <f>IF(Q56="","",IFERROR(VALUE(RIGHT(Q56,1)),""))</f>
        <v/>
      </c>
      <c r="AB56" s="38">
        <f>IF(OR(M56="",W56=""),"",IFERROR(ROUND(440*2^((12*(W56+1)+IFERROR(MATCH(R56,{"C","C#","D","D#","E","F","F#","G","G#","A","A#","B"},0)-1,MATCH(R56,{"C","Db","D","Eb","E","F","Gb","G","Ab","A","Bb","B"},0)-1)-69)/12),2),""))</f>
        <v/>
      </c>
      <c r="AC56" s="38">
        <f>IF(OR(N56="",X56=""),"",IFERROR(ROUND(440*2^((12*(X56+1)+IFERROR(MATCH(S56,{"C","C#","D","D#","E","F","F#","G","G#","A","A#","B"},0)-1,MATCH(S56,{"C","Db","D","Eb","E","F","Gb","G","Ab","A","Bb","B"},0)-1)-69)/12),2),""))</f>
        <v/>
      </c>
      <c r="AD56" s="38">
        <f>IF(OR(O56="",Y56=""),"",IFERROR(ROUND(440*2^((12*(Y56+1)+IFERROR(MATCH(T56,{"C","C#","D","D#","E","F","F#","G","G#","A","A#","B"},0)-1,MATCH(T56,{"C","Db","D","Eb","E","F","Gb","G","Ab","A","Bb","B"},0)-1)-69)/12),2),""))</f>
        <v/>
      </c>
      <c r="AE56" s="38">
        <f>IF(OR(P56="",Z56=""),"",IFERROR(ROUND(440*2^((12*(Z56+1)+IFERROR(MATCH(U56,{"C","C#","D","D#","E","F","F#","G","G#","A","A#","B"},0)-1,MATCH(U56,{"C","Db","D","Eb","E","F","Gb","G","Ab","A","Bb","B"},0)-1)-69)/12),2),""))</f>
        <v/>
      </c>
      <c r="AF56" s="38">
        <f>IF(OR(Q56="",AA56=""),"",IFERROR(ROUND(440*2^((12*(AA56+1)+IFERROR(MATCH(V56,{"C","C#","D","D#","E","F","F#","G","G#","A","A#","B"},0)-1,MATCH(V56,{"C","Db","D","Eb","E","F","Gb","G","Ab","A","Bb","B"},0)-1)-69)/12),2),""))</f>
        <v/>
      </c>
      <c r="AG56" s="36" t="n"/>
      <c r="AH56" s="36" t="n"/>
      <c r="AI56" s="36" t="n"/>
      <c r="AJ56" s="36" t="inlineStr">
        <is>
          <t>Low</t>
        </is>
      </c>
      <c r="AK56" s="36" t="inlineStr">
        <is>
          <t>Low</t>
        </is>
      </c>
      <c r="AL56" s="35" t="n"/>
    </row>
    <row r="57">
      <c r="A57" s="35" t="inlineStr">
        <is>
          <t>TEST_006</t>
        </is>
      </c>
      <c r="B57" s="35" t="n">
        <v>5</v>
      </c>
      <c r="C57" s="36" t="n"/>
      <c r="D57" s="36" t="n"/>
      <c r="E57" s="36" t="n"/>
      <c r="F57" s="36" t="n">
        <v>6.82</v>
      </c>
      <c r="G57" s="36" t="n">
        <v>3.9</v>
      </c>
      <c r="H57" s="36" t="n"/>
      <c r="I57" s="36" t="n"/>
      <c r="J57" s="36" t="n"/>
      <c r="K57" s="36" t="n">
        <v>7.02</v>
      </c>
      <c r="L57" s="36" t="n">
        <v>4.11</v>
      </c>
      <c r="M57" s="36" t="n"/>
      <c r="N57" s="36" t="n"/>
      <c r="O57" s="36" t="n"/>
      <c r="P57" s="36" t="inlineStr">
        <is>
          <t>G4</t>
        </is>
      </c>
      <c r="Q57" s="36" t="inlineStr">
        <is>
          <t>D4</t>
        </is>
      </c>
      <c r="R57" s="38">
        <f>IF(M57="","",LEFT(M57,LEN(M57)-1))</f>
        <v/>
      </c>
      <c r="S57" s="38">
        <f>IF(N57="","",LEFT(N57,LEN(N57)-1))</f>
        <v/>
      </c>
      <c r="T57" s="38">
        <f>IF(O57="","",LEFT(O57,LEN(O57)-1))</f>
        <v/>
      </c>
      <c r="U57" s="38">
        <f>IF(P57="","",LEFT(P57,LEN(P57)-1))</f>
        <v/>
      </c>
      <c r="V57" s="38">
        <f>IF(Q57="","",LEFT(Q57,LEN(Q57)-1))</f>
        <v/>
      </c>
      <c r="W57" s="38">
        <f>IF(M57="","",IFERROR(VALUE(RIGHT(M57,1)),""))</f>
        <v/>
      </c>
      <c r="X57" s="38">
        <f>IF(N57="","",IFERROR(VALUE(RIGHT(N57,1)),""))</f>
        <v/>
      </c>
      <c r="Y57" s="38">
        <f>IF(O57="","",IFERROR(VALUE(RIGHT(O57,1)),""))</f>
        <v/>
      </c>
      <c r="Z57" s="38">
        <f>IF(P57="","",IFERROR(VALUE(RIGHT(P57,1)),""))</f>
        <v/>
      </c>
      <c r="AA57" s="38">
        <f>IF(Q57="","",IFERROR(VALUE(RIGHT(Q57,1)),""))</f>
        <v/>
      </c>
      <c r="AB57" s="38">
        <f>IF(OR(M57="",W57=""),"",IFERROR(ROUND(440*2^((12*(W57+1)+IFERROR(MATCH(R57,{"C","C#","D","D#","E","F","F#","G","G#","A","A#","B"},0)-1,MATCH(R57,{"C","Db","D","Eb","E","F","Gb","G","Ab","A","Bb","B"},0)-1)-69)/12),2),""))</f>
        <v/>
      </c>
      <c r="AC57" s="38">
        <f>IF(OR(N57="",X57=""),"",IFERROR(ROUND(440*2^((12*(X57+1)+IFERROR(MATCH(S57,{"C","C#","D","D#","E","F","F#","G","G#","A","A#","B"},0)-1,MATCH(S57,{"C","Db","D","Eb","E","F","Gb","G","Ab","A","Bb","B"},0)-1)-69)/12),2),""))</f>
        <v/>
      </c>
      <c r="AD57" s="38">
        <f>IF(OR(O57="",Y57=""),"",IFERROR(ROUND(440*2^((12*(Y57+1)+IFERROR(MATCH(T57,{"C","C#","D","D#","E","F","F#","G","G#","A","A#","B"},0)-1,MATCH(T57,{"C","Db","D","Eb","E","F","Gb","G","Ab","A","Bb","B"},0)-1)-69)/12),2),""))</f>
        <v/>
      </c>
      <c r="AE57" s="38">
        <f>IF(OR(P57="",Z57=""),"",IFERROR(ROUND(440*2^((12*(Z57+1)+IFERROR(MATCH(U57,{"C","C#","D","D#","E","F","F#","G","G#","A","A#","B"},0)-1,MATCH(U57,{"C","Db","D","Eb","E","F","Gb","G","Ab","A","Bb","B"},0)-1)-69)/12),2),""))</f>
        <v/>
      </c>
      <c r="AF57" s="38">
        <f>IF(OR(Q57="",AA57=""),"",IFERROR(ROUND(440*2^((12*(AA57+1)+IFERROR(MATCH(V57,{"C","C#","D","D#","E","F","F#","G","G#","A","A#","B"},0)-1,MATCH(V57,{"C","Db","D","Eb","E","F","Gb","G","Ab","A","Bb","B"},0)-1)-69)/12),2),""))</f>
        <v/>
      </c>
      <c r="AG57" s="36" t="n"/>
      <c r="AH57" s="36" t="n"/>
      <c r="AI57" s="36" t="n"/>
      <c r="AJ57" s="36" t="inlineStr">
        <is>
          <t>Low</t>
        </is>
      </c>
      <c r="AK57" s="36" t="inlineStr">
        <is>
          <t>Low</t>
        </is>
      </c>
      <c r="AL57" s="35" t="n"/>
    </row>
    <row r="58">
      <c r="A58" s="35" t="inlineStr">
        <is>
          <t>TEST_006</t>
        </is>
      </c>
      <c r="B58" s="35" t="n">
        <v>6</v>
      </c>
      <c r="C58" s="36" t="n"/>
      <c r="D58" s="36" t="n"/>
      <c r="E58" s="36" t="n"/>
      <c r="F58" s="36" t="n">
        <v>7.04</v>
      </c>
      <c r="G58" s="36" t="n">
        <v>4.18</v>
      </c>
      <c r="H58" s="36" t="n"/>
      <c r="I58" s="36" t="n"/>
      <c r="J58" s="36" t="n"/>
      <c r="K58" s="36" t="n">
        <v>7.35</v>
      </c>
      <c r="L58" s="36" t="n">
        <v>4.31</v>
      </c>
      <c r="M58" s="36" t="n"/>
      <c r="N58" s="36" t="n"/>
      <c r="O58" s="36" t="n"/>
      <c r="P58" s="36" t="inlineStr">
        <is>
          <t>E4</t>
        </is>
      </c>
      <c r="Q58" s="36" t="inlineStr">
        <is>
          <t>E4</t>
        </is>
      </c>
      <c r="R58" s="38">
        <f>IF(M58="","",LEFT(M58,LEN(M58)-1))</f>
        <v/>
      </c>
      <c r="S58" s="38">
        <f>IF(N58="","",LEFT(N58,LEN(N58)-1))</f>
        <v/>
      </c>
      <c r="T58" s="38">
        <f>IF(O58="","",LEFT(O58,LEN(O58)-1))</f>
        <v/>
      </c>
      <c r="U58" s="38">
        <f>IF(P58="","",LEFT(P58,LEN(P58)-1))</f>
        <v/>
      </c>
      <c r="V58" s="38">
        <f>IF(Q58="","",LEFT(Q58,LEN(Q58)-1))</f>
        <v/>
      </c>
      <c r="W58" s="38">
        <f>IF(M58="","",IFERROR(VALUE(RIGHT(M58,1)),""))</f>
        <v/>
      </c>
      <c r="X58" s="38">
        <f>IF(N58="","",IFERROR(VALUE(RIGHT(N58,1)),""))</f>
        <v/>
      </c>
      <c r="Y58" s="38">
        <f>IF(O58="","",IFERROR(VALUE(RIGHT(O58,1)),""))</f>
        <v/>
      </c>
      <c r="Z58" s="38">
        <f>IF(P58="","",IFERROR(VALUE(RIGHT(P58,1)),""))</f>
        <v/>
      </c>
      <c r="AA58" s="38">
        <f>IF(Q58="","",IFERROR(VALUE(RIGHT(Q58,1)),""))</f>
        <v/>
      </c>
      <c r="AB58" s="38">
        <f>IF(OR(M58="",W58=""),"",IFERROR(ROUND(440*2^((12*(W58+1)+IFERROR(MATCH(R58,{"C","C#","D","D#","E","F","F#","G","G#","A","A#","B"},0)-1,MATCH(R58,{"C","Db","D","Eb","E","F","Gb","G","Ab","A","Bb","B"},0)-1)-69)/12),2),""))</f>
        <v/>
      </c>
      <c r="AC58" s="38">
        <f>IF(OR(N58="",X58=""),"",IFERROR(ROUND(440*2^((12*(X58+1)+IFERROR(MATCH(S58,{"C","C#","D","D#","E","F","F#","G","G#","A","A#","B"},0)-1,MATCH(S58,{"C","Db","D","Eb","E","F","Gb","G","Ab","A","Bb","B"},0)-1)-69)/12),2),""))</f>
        <v/>
      </c>
      <c r="AD58" s="38">
        <f>IF(OR(O58="",Y58=""),"",IFERROR(ROUND(440*2^((12*(Y58+1)+IFERROR(MATCH(T58,{"C","C#","D","D#","E","F","F#","G","G#","A","A#","B"},0)-1,MATCH(T58,{"C","Db","D","Eb","E","F","Gb","G","Ab","A","Bb","B"},0)-1)-69)/12),2),""))</f>
        <v/>
      </c>
      <c r="AE58" s="38">
        <f>IF(OR(P58="",Z58=""),"",IFERROR(ROUND(440*2^((12*(Z58+1)+IFERROR(MATCH(U58,{"C","C#","D","D#","E","F","F#","G","G#","A","A#","B"},0)-1,MATCH(U58,{"C","Db","D","Eb","E","F","Gb","G","Ab","A","Bb","B"},0)-1)-69)/12),2),""))</f>
        <v/>
      </c>
      <c r="AF58" s="38">
        <f>IF(OR(Q58="",AA58=""),"",IFERROR(ROUND(440*2^((12*(AA58+1)+IFERROR(MATCH(V58,{"C","C#","D","D#","E","F","F#","G","G#","A","A#","B"},0)-1,MATCH(V58,{"C","Db","D","Eb","E","F","Gb","G","Ab","A","Bb","B"},0)-1)-69)/12),2),""))</f>
        <v/>
      </c>
      <c r="AG58" s="36" t="n"/>
      <c r="AH58" s="36" t="n"/>
      <c r="AI58" s="36" t="n"/>
      <c r="AJ58" s="36" t="inlineStr">
        <is>
          <t>Low</t>
        </is>
      </c>
      <c r="AK58" s="36" t="inlineStr">
        <is>
          <t>Medium</t>
        </is>
      </c>
      <c r="AL58" s="35" t="n"/>
    </row>
    <row r="59">
      <c r="A59" s="35" t="inlineStr">
        <is>
          <t>TEST_006</t>
        </is>
      </c>
      <c r="B59" s="35" t="n">
        <v>7</v>
      </c>
      <c r="C59" s="36" t="n"/>
      <c r="D59" s="36" t="n"/>
      <c r="E59" s="36" t="n"/>
      <c r="F59" s="36" t="n">
        <v>8.539999999999999</v>
      </c>
      <c r="G59" s="36" t="n">
        <v>4.38</v>
      </c>
      <c r="H59" s="36" t="n"/>
      <c r="I59" s="36" t="n"/>
      <c r="J59" s="36" t="n"/>
      <c r="K59" s="36" t="n">
        <v>8.68</v>
      </c>
      <c r="L59" s="36" t="n">
        <v>4.61</v>
      </c>
      <c r="M59" s="36" t="n"/>
      <c r="N59" s="36" t="n"/>
      <c r="O59" s="36" t="n"/>
      <c r="P59" s="36" t="inlineStr">
        <is>
          <t>D4</t>
        </is>
      </c>
      <c r="Q59" s="36" t="inlineStr">
        <is>
          <t>G4</t>
        </is>
      </c>
      <c r="R59" s="38">
        <f>IF(M59="","",LEFT(M59,LEN(M59)-1))</f>
        <v/>
      </c>
      <c r="S59" s="38">
        <f>IF(N59="","",LEFT(N59,LEN(N59)-1))</f>
        <v/>
      </c>
      <c r="T59" s="38">
        <f>IF(O59="","",LEFT(O59,LEN(O59)-1))</f>
        <v/>
      </c>
      <c r="U59" s="38">
        <f>IF(P59="","",LEFT(P59,LEN(P59)-1))</f>
        <v/>
      </c>
      <c r="V59" s="38">
        <f>IF(Q59="","",LEFT(Q59,LEN(Q59)-1))</f>
        <v/>
      </c>
      <c r="W59" s="38">
        <f>IF(M59="","",IFERROR(VALUE(RIGHT(M59,1)),""))</f>
        <v/>
      </c>
      <c r="X59" s="38">
        <f>IF(N59="","",IFERROR(VALUE(RIGHT(N59,1)),""))</f>
        <v/>
      </c>
      <c r="Y59" s="38">
        <f>IF(O59="","",IFERROR(VALUE(RIGHT(O59,1)),""))</f>
        <v/>
      </c>
      <c r="Z59" s="38">
        <f>IF(P59="","",IFERROR(VALUE(RIGHT(P59,1)),""))</f>
        <v/>
      </c>
      <c r="AA59" s="38">
        <f>IF(Q59="","",IFERROR(VALUE(RIGHT(Q59,1)),""))</f>
        <v/>
      </c>
      <c r="AB59" s="38">
        <f>IF(OR(M59="",W59=""),"",IFERROR(ROUND(440*2^((12*(W59+1)+IFERROR(MATCH(R59,{"C","C#","D","D#","E","F","F#","G","G#","A","A#","B"},0)-1,MATCH(R59,{"C","Db","D","Eb","E","F","Gb","G","Ab","A","Bb","B"},0)-1)-69)/12),2),""))</f>
        <v/>
      </c>
      <c r="AC59" s="38">
        <f>IF(OR(N59="",X59=""),"",IFERROR(ROUND(440*2^((12*(X59+1)+IFERROR(MATCH(S59,{"C","C#","D","D#","E","F","F#","G","G#","A","A#","B"},0)-1,MATCH(S59,{"C","Db","D","Eb","E","F","Gb","G","Ab","A","Bb","B"},0)-1)-69)/12),2),""))</f>
        <v/>
      </c>
      <c r="AD59" s="38">
        <f>IF(OR(O59="",Y59=""),"",IFERROR(ROUND(440*2^((12*(Y59+1)+IFERROR(MATCH(T59,{"C","C#","D","D#","E","F","F#","G","G#","A","A#","B"},0)-1,MATCH(T59,{"C","Db","D","Eb","E","F","Gb","G","Ab","A","Bb","B"},0)-1)-69)/12),2),""))</f>
        <v/>
      </c>
      <c r="AE59" s="38">
        <f>IF(OR(P59="",Z59=""),"",IFERROR(ROUND(440*2^((12*(Z59+1)+IFERROR(MATCH(U59,{"C","C#","D","D#","E","F","F#","G","G#","A","A#","B"},0)-1,MATCH(U59,{"C","Db","D","Eb","E","F","Gb","G","Ab","A","Bb","B"},0)-1)-69)/12),2),""))</f>
        <v/>
      </c>
      <c r="AF59" s="38">
        <f>IF(OR(Q59="",AA59=""),"",IFERROR(ROUND(440*2^((12*(AA59+1)+IFERROR(MATCH(V59,{"C","C#","D","D#","E","F","F#","G","G#","A","A#","B"},0)-1,MATCH(V59,{"C","Db","D","Eb","E","F","Gb","G","Ab","A","Bb","B"},0)-1)-69)/12),2),""))</f>
        <v/>
      </c>
      <c r="AG59" s="36" t="n"/>
      <c r="AH59" s="36" t="n"/>
      <c r="AI59" s="36" t="n"/>
      <c r="AJ59" s="36" t="inlineStr">
        <is>
          <t>Low</t>
        </is>
      </c>
      <c r="AK59" s="36" t="inlineStr">
        <is>
          <t>Low</t>
        </is>
      </c>
      <c r="AL59" s="35" t="n"/>
    </row>
    <row r="60">
      <c r="A60" s="35" t="inlineStr">
        <is>
          <t>TEST_006</t>
        </is>
      </c>
      <c r="B60" s="35" t="n">
        <v>8</v>
      </c>
      <c r="C60" s="36" t="n"/>
      <c r="D60" s="36" t="n"/>
      <c r="E60" s="36" t="n"/>
      <c r="F60" s="36" t="n">
        <v>9.06</v>
      </c>
      <c r="G60" s="36" t="n">
        <v>4.68</v>
      </c>
      <c r="H60" s="36" t="n"/>
      <c r="I60" s="36" t="n"/>
      <c r="J60" s="36" t="n"/>
      <c r="K60" s="36" t="n">
        <v>9.369999999999999</v>
      </c>
      <c r="L60" s="36" t="n">
        <v>4.84</v>
      </c>
      <c r="M60" s="36" t="n"/>
      <c r="N60" s="36" t="n"/>
      <c r="O60" s="36" t="n"/>
      <c r="P60" s="36" t="inlineStr">
        <is>
          <t>G4</t>
        </is>
      </c>
      <c r="Q60" s="36" t="inlineStr">
        <is>
          <t>G4</t>
        </is>
      </c>
      <c r="R60" s="38">
        <f>IF(M60="","",LEFT(M60,LEN(M60)-1))</f>
        <v/>
      </c>
      <c r="S60" s="38">
        <f>IF(N60="","",LEFT(N60,LEN(N60)-1))</f>
        <v/>
      </c>
      <c r="T60" s="38">
        <f>IF(O60="","",LEFT(O60,LEN(O60)-1))</f>
        <v/>
      </c>
      <c r="U60" s="38">
        <f>IF(P60="","",LEFT(P60,LEN(P60)-1))</f>
        <v/>
      </c>
      <c r="V60" s="38">
        <f>IF(Q60="","",LEFT(Q60,LEN(Q60)-1))</f>
        <v/>
      </c>
      <c r="W60" s="38">
        <f>IF(M60="","",IFERROR(VALUE(RIGHT(M60,1)),""))</f>
        <v/>
      </c>
      <c r="X60" s="38">
        <f>IF(N60="","",IFERROR(VALUE(RIGHT(N60,1)),""))</f>
        <v/>
      </c>
      <c r="Y60" s="38">
        <f>IF(O60="","",IFERROR(VALUE(RIGHT(O60,1)),""))</f>
        <v/>
      </c>
      <c r="Z60" s="38">
        <f>IF(P60="","",IFERROR(VALUE(RIGHT(P60,1)),""))</f>
        <v/>
      </c>
      <c r="AA60" s="38">
        <f>IF(Q60="","",IFERROR(VALUE(RIGHT(Q60,1)),""))</f>
        <v/>
      </c>
      <c r="AB60" s="38">
        <f>IF(OR(M60="",W60=""),"",IFERROR(ROUND(440*2^((12*(W60+1)+IFERROR(MATCH(R60,{"C","C#","D","D#","E","F","F#","G","G#","A","A#","B"},0)-1,MATCH(R60,{"C","Db","D","Eb","E","F","Gb","G","Ab","A","Bb","B"},0)-1)-69)/12),2),""))</f>
        <v/>
      </c>
      <c r="AC60" s="38">
        <f>IF(OR(N60="",X60=""),"",IFERROR(ROUND(440*2^((12*(X60+1)+IFERROR(MATCH(S60,{"C","C#","D","D#","E","F","F#","G","G#","A","A#","B"},0)-1,MATCH(S60,{"C","Db","D","Eb","E","F","Gb","G","Ab","A","Bb","B"},0)-1)-69)/12),2),""))</f>
        <v/>
      </c>
      <c r="AD60" s="38">
        <f>IF(OR(O60="",Y60=""),"",IFERROR(ROUND(440*2^((12*(Y60+1)+IFERROR(MATCH(T60,{"C","C#","D","D#","E","F","F#","G","G#","A","A#","B"},0)-1,MATCH(T60,{"C","Db","D","Eb","E","F","Gb","G","Ab","A","Bb","B"},0)-1)-69)/12),2),""))</f>
        <v/>
      </c>
      <c r="AE60" s="38">
        <f>IF(OR(P60="",Z60=""),"",IFERROR(ROUND(440*2^((12*(Z60+1)+IFERROR(MATCH(U60,{"C","C#","D","D#","E","F","F#","G","G#","A","A#","B"},0)-1,MATCH(U60,{"C","Db","D","Eb","E","F","Gb","G","Ab","A","Bb","B"},0)-1)-69)/12),2),""))</f>
        <v/>
      </c>
      <c r="AF60" s="38">
        <f>IF(OR(Q60="",AA60=""),"",IFERROR(ROUND(440*2^((12*(AA60+1)+IFERROR(MATCH(V60,{"C","C#","D","D#","E","F","F#","G","G#","A","A#","B"},0)-1,MATCH(V60,{"C","Db","D","Eb","E","F","Gb","G","Ab","A","Bb","B"},0)-1)-69)/12),2),""))</f>
        <v/>
      </c>
      <c r="AG60" s="36" t="n"/>
      <c r="AH60" s="36" t="n"/>
      <c r="AI60" s="36" t="n"/>
      <c r="AJ60" s="36" t="inlineStr">
        <is>
          <t>Low</t>
        </is>
      </c>
      <c r="AK60" s="36" t="inlineStr">
        <is>
          <t>High</t>
        </is>
      </c>
      <c r="AL60" s="35" t="n"/>
    </row>
    <row r="61">
      <c r="A61" s="35" t="inlineStr">
        <is>
          <t>TEST_006</t>
        </is>
      </c>
      <c r="B61" s="35" t="n">
        <v>9</v>
      </c>
      <c r="C61" s="36" t="n"/>
      <c r="D61" s="36" t="n"/>
      <c r="E61" s="36" t="n"/>
      <c r="F61" s="36" t="n">
        <v>9.710000000000001</v>
      </c>
      <c r="G61" s="36" t="n">
        <v>4.86</v>
      </c>
      <c r="H61" s="36" t="n"/>
      <c r="I61" s="36" t="n"/>
      <c r="J61" s="36" t="n"/>
      <c r="K61" s="36" t="n">
        <v>10.79</v>
      </c>
      <c r="L61" s="36" t="n">
        <v>5.65</v>
      </c>
      <c r="M61" s="36" t="n"/>
      <c r="N61" s="36" t="n"/>
      <c r="O61" s="36" t="n"/>
      <c r="P61" s="36" t="inlineStr">
        <is>
          <t>D5</t>
        </is>
      </c>
      <c r="Q61" s="36" t="inlineStr">
        <is>
          <t>G4</t>
        </is>
      </c>
      <c r="R61" s="38">
        <f>IF(M61="","",LEFT(M61,LEN(M61)-1))</f>
        <v/>
      </c>
      <c r="S61" s="38">
        <f>IF(N61="","",LEFT(N61,LEN(N61)-1))</f>
        <v/>
      </c>
      <c r="T61" s="38">
        <f>IF(O61="","",LEFT(O61,LEN(O61)-1))</f>
        <v/>
      </c>
      <c r="U61" s="38">
        <f>IF(P61="","",LEFT(P61,LEN(P61)-1))</f>
        <v/>
      </c>
      <c r="V61" s="38">
        <f>IF(Q61="","",LEFT(Q61,LEN(Q61)-1))</f>
        <v/>
      </c>
      <c r="W61" s="38">
        <f>IF(M61="","",IFERROR(VALUE(RIGHT(M61,1)),""))</f>
        <v/>
      </c>
      <c r="X61" s="38">
        <f>IF(N61="","",IFERROR(VALUE(RIGHT(N61,1)),""))</f>
        <v/>
      </c>
      <c r="Y61" s="38">
        <f>IF(O61="","",IFERROR(VALUE(RIGHT(O61,1)),""))</f>
        <v/>
      </c>
      <c r="Z61" s="38">
        <f>IF(P61="","",IFERROR(VALUE(RIGHT(P61,1)),""))</f>
        <v/>
      </c>
      <c r="AA61" s="38">
        <f>IF(Q61="","",IFERROR(VALUE(RIGHT(Q61,1)),""))</f>
        <v/>
      </c>
      <c r="AB61" s="38">
        <f>IF(OR(M61="",W61=""),"",IFERROR(ROUND(440*2^((12*(W61+1)+IFERROR(MATCH(R61,{"C","C#","D","D#","E","F","F#","G","G#","A","A#","B"},0)-1,MATCH(R61,{"C","Db","D","Eb","E","F","Gb","G","Ab","A","Bb","B"},0)-1)-69)/12),2),""))</f>
        <v/>
      </c>
      <c r="AC61" s="38">
        <f>IF(OR(N61="",X61=""),"",IFERROR(ROUND(440*2^((12*(X61+1)+IFERROR(MATCH(S61,{"C","C#","D","D#","E","F","F#","G","G#","A","A#","B"},0)-1,MATCH(S61,{"C","Db","D","Eb","E","F","Gb","G","Ab","A","Bb","B"},0)-1)-69)/12),2),""))</f>
        <v/>
      </c>
      <c r="AD61" s="38">
        <f>IF(OR(O61="",Y61=""),"",IFERROR(ROUND(440*2^((12*(Y61+1)+IFERROR(MATCH(T61,{"C","C#","D","D#","E","F","F#","G","G#","A","A#","B"},0)-1,MATCH(T61,{"C","Db","D","Eb","E","F","Gb","G","Ab","A","Bb","B"},0)-1)-69)/12),2),""))</f>
        <v/>
      </c>
      <c r="AE61" s="38">
        <f>IF(OR(P61="",Z61=""),"",IFERROR(ROUND(440*2^((12*(Z61+1)+IFERROR(MATCH(U61,{"C","C#","D","D#","E","F","F#","G","G#","A","A#","B"},0)-1,MATCH(U61,{"C","Db","D","Eb","E","F","Gb","G","Ab","A","Bb","B"},0)-1)-69)/12),2),""))</f>
        <v/>
      </c>
      <c r="AF61" s="38">
        <f>IF(OR(Q61="",AA61=""),"",IFERROR(ROUND(440*2^((12*(AA61+1)+IFERROR(MATCH(V61,{"C","C#","D","D#","E","F","F#","G","G#","A","A#","B"},0)-1,MATCH(V61,{"C","Db","D","Eb","E","F","Gb","G","Ab","A","Bb","B"},0)-1)-69)/12),2),""))</f>
        <v/>
      </c>
      <c r="AG61" s="36" t="n"/>
      <c r="AH61" s="36" t="n"/>
      <c r="AI61" s="36" t="n"/>
      <c r="AJ61" s="36" t="inlineStr">
        <is>
          <t>Low</t>
        </is>
      </c>
      <c r="AK61" s="36" t="inlineStr">
        <is>
          <t>Medium</t>
        </is>
      </c>
      <c r="AL61" s="35" t="n"/>
    </row>
    <row r="62">
      <c r="A62" s="35" t="inlineStr">
        <is>
          <t>TEST_006</t>
        </is>
      </c>
      <c r="B62" s="35" t="n">
        <v>10</v>
      </c>
      <c r="C62" s="36" t="n"/>
      <c r="D62" s="36" t="n"/>
      <c r="E62" s="36" t="n"/>
      <c r="F62" s="36" t="n">
        <v>10.79</v>
      </c>
      <c r="G62" s="36" t="n">
        <v>6.01</v>
      </c>
      <c r="H62" s="36" t="n"/>
      <c r="I62" s="36" t="n"/>
      <c r="J62" s="36" t="n"/>
      <c r="K62" s="36" t="n">
        <v>10.94</v>
      </c>
      <c r="L62" s="36" t="n">
        <v>6.2</v>
      </c>
      <c r="M62" s="36" t="n"/>
      <c r="N62" s="36" t="n"/>
      <c r="O62" s="36" t="n"/>
      <c r="P62" s="36" t="inlineStr">
        <is>
          <t>B4</t>
        </is>
      </c>
      <c r="Q62" s="36" t="inlineStr">
        <is>
          <t>B3</t>
        </is>
      </c>
      <c r="R62" s="38">
        <f>IF(M62="","",LEFT(M62,LEN(M62)-1))</f>
        <v/>
      </c>
      <c r="S62" s="38">
        <f>IF(N62="","",LEFT(N62,LEN(N62)-1))</f>
        <v/>
      </c>
      <c r="T62" s="38">
        <f>IF(O62="","",LEFT(O62,LEN(O62)-1))</f>
        <v/>
      </c>
      <c r="U62" s="38">
        <f>IF(P62="","",LEFT(P62,LEN(P62)-1))</f>
        <v/>
      </c>
      <c r="V62" s="38">
        <f>IF(Q62="","",LEFT(Q62,LEN(Q62)-1))</f>
        <v/>
      </c>
      <c r="W62" s="38">
        <f>IF(M62="","",IFERROR(VALUE(RIGHT(M62,1)),""))</f>
        <v/>
      </c>
      <c r="X62" s="38">
        <f>IF(N62="","",IFERROR(VALUE(RIGHT(N62,1)),""))</f>
        <v/>
      </c>
      <c r="Y62" s="38">
        <f>IF(O62="","",IFERROR(VALUE(RIGHT(O62,1)),""))</f>
        <v/>
      </c>
      <c r="Z62" s="38">
        <f>IF(P62="","",IFERROR(VALUE(RIGHT(P62,1)),""))</f>
        <v/>
      </c>
      <c r="AA62" s="38">
        <f>IF(Q62="","",IFERROR(VALUE(RIGHT(Q62,1)),""))</f>
        <v/>
      </c>
      <c r="AB62" s="38">
        <f>IF(OR(M62="",W62=""),"",IFERROR(ROUND(440*2^((12*(W62+1)+IFERROR(MATCH(R62,{"C","C#","D","D#","E","F","F#","G","G#","A","A#","B"},0)-1,MATCH(R62,{"C","Db","D","Eb","E","F","Gb","G","Ab","A","Bb","B"},0)-1)-69)/12),2),""))</f>
        <v/>
      </c>
      <c r="AC62" s="38">
        <f>IF(OR(N62="",X62=""),"",IFERROR(ROUND(440*2^((12*(X62+1)+IFERROR(MATCH(S62,{"C","C#","D","D#","E","F","F#","G","G#","A","A#","B"},0)-1,MATCH(S62,{"C","Db","D","Eb","E","F","Gb","G","Ab","A","Bb","B"},0)-1)-69)/12),2),""))</f>
        <v/>
      </c>
      <c r="AD62" s="38">
        <f>IF(OR(O62="",Y62=""),"",IFERROR(ROUND(440*2^((12*(Y62+1)+IFERROR(MATCH(T62,{"C","C#","D","D#","E","F","F#","G","G#","A","A#","B"},0)-1,MATCH(T62,{"C","Db","D","Eb","E","F","Gb","G","Ab","A","Bb","B"},0)-1)-69)/12),2),""))</f>
        <v/>
      </c>
      <c r="AE62" s="38">
        <f>IF(OR(P62="",Z62=""),"",IFERROR(ROUND(440*2^((12*(Z62+1)+IFERROR(MATCH(U62,{"C","C#","D","D#","E","F","F#","G","G#","A","A#","B"},0)-1,MATCH(U62,{"C","Db","D","Eb","E","F","Gb","G","Ab","A","Bb","B"},0)-1)-69)/12),2),""))</f>
        <v/>
      </c>
      <c r="AF62" s="38">
        <f>IF(OR(Q62="",AA62=""),"",IFERROR(ROUND(440*2^((12*(AA62+1)+IFERROR(MATCH(V62,{"C","C#","D","D#","E","F","F#","G","G#","A","A#","B"},0)-1,MATCH(V62,{"C","Db","D","Eb","E","F","Gb","G","Ab","A","Bb","B"},0)-1)-69)/12),2),""))</f>
        <v/>
      </c>
      <c r="AG62" s="36" t="n"/>
      <c r="AH62" s="36" t="n"/>
      <c r="AI62" s="36" t="n"/>
      <c r="AJ62" s="36" t="inlineStr">
        <is>
          <t>Low</t>
        </is>
      </c>
      <c r="AK62" s="36" t="inlineStr">
        <is>
          <t>Medium</t>
        </is>
      </c>
      <c r="AL62" s="35" t="n"/>
    </row>
    <row r="63">
      <c r="A63" s="35" t="inlineStr">
        <is>
          <t>TEST_007</t>
        </is>
      </c>
      <c r="B63" s="35" t="n">
        <v>1</v>
      </c>
      <c r="C63" s="36" t="n"/>
      <c r="D63" s="36" t="n"/>
      <c r="E63" s="36" t="n"/>
      <c r="F63" s="36" t="n">
        <v>0.01</v>
      </c>
      <c r="G63" s="36" t="n">
        <v>0</v>
      </c>
      <c r="H63" s="36" t="n"/>
      <c r="I63" s="36" t="n"/>
      <c r="J63" s="36" t="n"/>
      <c r="K63" s="36" t="n">
        <v>0.43</v>
      </c>
      <c r="L63" s="36" t="n">
        <v>0.43</v>
      </c>
      <c r="M63" s="36" t="n"/>
      <c r="N63" s="36" t="inlineStr">
        <is>
          <t>N/A</t>
        </is>
      </c>
      <c r="O63" s="36" t="inlineStr">
        <is>
          <t>N/A</t>
        </is>
      </c>
      <c r="P63" s="36" t="inlineStr">
        <is>
          <t>E3</t>
        </is>
      </c>
      <c r="Q63" s="36" t="inlineStr">
        <is>
          <t>E2</t>
        </is>
      </c>
      <c r="R63" s="38">
        <f>IF(M63="","",LEFT(M63,LEN(M63)-1))</f>
        <v/>
      </c>
      <c r="S63" s="38">
        <f>IF(N63="","",LEFT(N63,LEN(N63)-1))</f>
        <v/>
      </c>
      <c r="T63" s="38">
        <f>IF(O63="","",LEFT(O63,LEN(O63)-1))</f>
        <v/>
      </c>
      <c r="U63" s="38">
        <f>IF(P63="","",LEFT(P63,LEN(P63)-1))</f>
        <v/>
      </c>
      <c r="V63" s="38">
        <f>IF(Q63="","",LEFT(Q63,LEN(Q63)-1))</f>
        <v/>
      </c>
      <c r="W63" s="38">
        <f>IF(M63="","",IFERROR(VALUE(RIGHT(M63,1)),""))</f>
        <v/>
      </c>
      <c r="X63" s="38">
        <f>IF(N63="","",IFERROR(VALUE(RIGHT(N63,1)),""))</f>
        <v/>
      </c>
      <c r="Y63" s="38">
        <f>IF(O63="","",IFERROR(VALUE(RIGHT(O63,1)),""))</f>
        <v/>
      </c>
      <c r="Z63" s="38">
        <f>IF(P63="","",IFERROR(VALUE(RIGHT(P63,1)),""))</f>
        <v/>
      </c>
      <c r="AA63" s="38">
        <f>IF(Q63="","",IFERROR(VALUE(RIGHT(Q63,1)),""))</f>
        <v/>
      </c>
      <c r="AB63" s="38">
        <f>IF(OR(M63="",W63=""),"",IFERROR(ROUND(440*2^((12*(W63+1)+IFERROR(MATCH(R63,{"C","C#","D","D#","E","F","F#","G","G#","A","A#","B"},0)-1,MATCH(R63,{"C","Db","D","Eb","E","F","Gb","G","Ab","A","Bb","B"},0)-1)-69)/12),2),""))</f>
        <v/>
      </c>
      <c r="AC63" s="38">
        <f>IF(OR(N63="",X63=""),"",IFERROR(ROUND(440*2^((12*(X63+1)+IFERROR(MATCH(S63,{"C","C#","D","D#","E","F","F#","G","G#","A","A#","B"},0)-1,MATCH(S63,{"C","Db","D","Eb","E","F","Gb","G","Ab","A","Bb","B"},0)-1)-69)/12),2),""))</f>
        <v/>
      </c>
      <c r="AD63" s="38">
        <f>IF(OR(O63="",Y63=""),"",IFERROR(ROUND(440*2^((12*(Y63+1)+IFERROR(MATCH(T63,{"C","C#","D","D#","E","F","F#","G","G#","A","A#","B"},0)-1,MATCH(T63,{"C","Db","D","Eb","E","F","Gb","G","Ab","A","Bb","B"},0)-1)-69)/12),2),""))</f>
        <v/>
      </c>
      <c r="AE63" s="38">
        <f>IF(OR(P63="",Z63=""),"",IFERROR(ROUND(440*2^((12*(Z63+1)+IFERROR(MATCH(U63,{"C","C#","D","D#","E","F","F#","G","G#","A","A#","B"},0)-1,MATCH(U63,{"C","Db","D","Eb","E","F","Gb","G","Ab","A","Bb","B"},0)-1)-69)/12),2),""))</f>
        <v/>
      </c>
      <c r="AF63" s="38">
        <f>IF(OR(Q63="",AA63=""),"",IFERROR(ROUND(440*2^((12*(AA63+1)+IFERROR(MATCH(V63,{"C","C#","D","D#","E","F","F#","G","G#","A","A#","B"},0)-1,MATCH(V63,{"C","Db","D","Eb","E","F","Gb","G","Ab","A","Bb","B"},0)-1)-69)/12),2),""))</f>
        <v/>
      </c>
      <c r="AG63" s="36" t="n"/>
      <c r="AH63" s="36" t="n"/>
      <c r="AI63" s="36" t="n"/>
      <c r="AJ63" s="36" t="inlineStr">
        <is>
          <t>Low</t>
        </is>
      </c>
      <c r="AK63" s="36" t="inlineStr">
        <is>
          <t>Low</t>
        </is>
      </c>
      <c r="AL6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64">
      <c r="A64" s="35" t="inlineStr">
        <is>
          <t>TEST_007</t>
        </is>
      </c>
      <c r="B64" s="35" t="n">
        <v>2</v>
      </c>
      <c r="C64" s="36" t="n"/>
      <c r="D64" s="36" t="n"/>
      <c r="E64" s="36" t="n"/>
      <c r="F64" s="36" t="n">
        <v>1.45</v>
      </c>
      <c r="G64" s="36" t="n">
        <v>3.01</v>
      </c>
      <c r="H64" s="36" t="n"/>
      <c r="I64" s="36" t="n"/>
      <c r="J64" s="36" t="n"/>
      <c r="K64" s="36" t="n">
        <v>1.8</v>
      </c>
      <c r="L64" s="36" t="n">
        <v>3.45</v>
      </c>
      <c r="M64" s="36" t="n"/>
      <c r="N64" s="36" t="n"/>
      <c r="O64" s="36" t="n"/>
      <c r="P64" s="36" t="inlineStr">
        <is>
          <t>E4</t>
        </is>
      </c>
      <c r="Q64" s="36" t="inlineStr">
        <is>
          <t>B2</t>
        </is>
      </c>
      <c r="R64" s="38">
        <f>IF(M64="","",LEFT(M64,LEN(M64)-1))</f>
        <v/>
      </c>
      <c r="S64" s="38">
        <f>IF(N64="","",LEFT(N64,LEN(N64)-1))</f>
        <v/>
      </c>
      <c r="T64" s="38">
        <f>IF(O64="","",LEFT(O64,LEN(O64)-1))</f>
        <v/>
      </c>
      <c r="U64" s="38">
        <f>IF(P64="","",LEFT(P64,LEN(P64)-1))</f>
        <v/>
      </c>
      <c r="V64" s="38">
        <f>IF(Q64="","",LEFT(Q64,LEN(Q64)-1))</f>
        <v/>
      </c>
      <c r="W64" s="38">
        <f>IF(M64="","",IFERROR(VALUE(RIGHT(M64,1)),""))</f>
        <v/>
      </c>
      <c r="X64" s="38">
        <f>IF(N64="","",IFERROR(VALUE(RIGHT(N64,1)),""))</f>
        <v/>
      </c>
      <c r="Y64" s="38">
        <f>IF(O64="","",IFERROR(VALUE(RIGHT(O64,1)),""))</f>
        <v/>
      </c>
      <c r="Z64" s="38">
        <f>IF(P64="","",IFERROR(VALUE(RIGHT(P64,1)),""))</f>
        <v/>
      </c>
      <c r="AA64" s="38">
        <f>IF(Q64="","",IFERROR(VALUE(RIGHT(Q64,1)),""))</f>
        <v/>
      </c>
      <c r="AB64" s="38">
        <f>IF(OR(M64="",W64=""),"",IFERROR(ROUND(440*2^((12*(W64+1)+IFERROR(MATCH(R64,{"C","C#","D","D#","E","F","F#","G","G#","A","A#","B"},0)-1,MATCH(R64,{"C","Db","D","Eb","E","F","Gb","G","Ab","A","Bb","B"},0)-1)-69)/12),2),""))</f>
        <v/>
      </c>
      <c r="AC64" s="38">
        <f>IF(OR(N64="",X64=""),"",IFERROR(ROUND(440*2^((12*(X64+1)+IFERROR(MATCH(S64,{"C","C#","D","D#","E","F","F#","G","G#","A","A#","B"},0)-1,MATCH(S64,{"C","Db","D","Eb","E","F","Gb","G","Ab","A","Bb","B"},0)-1)-69)/12),2),""))</f>
        <v/>
      </c>
      <c r="AD64" s="38">
        <f>IF(OR(O64="",Y64=""),"",IFERROR(ROUND(440*2^((12*(Y64+1)+IFERROR(MATCH(T64,{"C","C#","D","D#","E","F","F#","G","G#","A","A#","B"},0)-1,MATCH(T64,{"C","Db","D","Eb","E","F","Gb","G","Ab","A","Bb","B"},0)-1)-69)/12),2),""))</f>
        <v/>
      </c>
      <c r="AE64" s="38">
        <f>IF(OR(P64="",Z64=""),"",IFERROR(ROUND(440*2^((12*(Z64+1)+IFERROR(MATCH(U64,{"C","C#","D","D#","E","F","F#","G","G#","A","A#","B"},0)-1,MATCH(U64,{"C","Db","D","Eb","E","F","Gb","G","Ab","A","Bb","B"},0)-1)-69)/12),2),""))</f>
        <v/>
      </c>
      <c r="AF64" s="38">
        <f>IF(OR(Q64="",AA64=""),"",IFERROR(ROUND(440*2^((12*(AA64+1)+IFERROR(MATCH(V64,{"C","C#","D","D#","E","F","F#","G","G#","A","A#","B"},0)-1,MATCH(V64,{"C","Db","D","Eb","E","F","Gb","G","Ab","A","Bb","B"},0)-1)-69)/12),2),""))</f>
        <v/>
      </c>
      <c r="AG64" s="36" t="n"/>
      <c r="AH64" s="36" t="n"/>
      <c r="AI64" s="36" t="n"/>
      <c r="AJ64" s="36" t="inlineStr">
        <is>
          <t>Low</t>
        </is>
      </c>
      <c r="AK64" s="36" t="inlineStr">
        <is>
          <t>Low</t>
        </is>
      </c>
      <c r="AL64" s="35" t="n"/>
    </row>
    <row r="65">
      <c r="A65" s="35" t="inlineStr">
        <is>
          <t>TEST_007</t>
        </is>
      </c>
      <c r="B65" s="35" t="n">
        <v>3</v>
      </c>
      <c r="C65" s="36" t="n"/>
      <c r="D65" s="36" t="n"/>
      <c r="E65" s="36" t="n"/>
      <c r="F65" s="36" t="n">
        <v>3.92</v>
      </c>
      <c r="G65" s="36" t="n">
        <v>3.97</v>
      </c>
      <c r="H65" s="36" t="n"/>
      <c r="I65" s="36" t="n"/>
      <c r="J65" s="36" t="n"/>
      <c r="K65" s="36" t="n">
        <v>4.45</v>
      </c>
      <c r="L65" s="36" t="n">
        <v>4.42</v>
      </c>
      <c r="M65" s="36" t="n"/>
      <c r="N65" s="36" t="n"/>
      <c r="O65" s="36" t="n"/>
      <c r="P65" s="36" t="inlineStr">
        <is>
          <t>D4</t>
        </is>
      </c>
      <c r="Q65" s="36" t="inlineStr">
        <is>
          <t>D3</t>
        </is>
      </c>
      <c r="R65" s="38">
        <f>IF(M65="","",LEFT(M65,LEN(M65)-1))</f>
        <v/>
      </c>
      <c r="S65" s="38">
        <f>IF(N65="","",LEFT(N65,LEN(N65)-1))</f>
        <v/>
      </c>
      <c r="T65" s="38">
        <f>IF(O65="","",LEFT(O65,LEN(O65)-1))</f>
        <v/>
      </c>
      <c r="U65" s="38">
        <f>IF(P65="","",LEFT(P65,LEN(P65)-1))</f>
        <v/>
      </c>
      <c r="V65" s="38">
        <f>IF(Q65="","",LEFT(Q65,LEN(Q65)-1))</f>
        <v/>
      </c>
      <c r="W65" s="38">
        <f>IF(M65="","",IFERROR(VALUE(RIGHT(M65,1)),""))</f>
        <v/>
      </c>
      <c r="X65" s="38">
        <f>IF(N65="","",IFERROR(VALUE(RIGHT(N65,1)),""))</f>
        <v/>
      </c>
      <c r="Y65" s="38">
        <f>IF(O65="","",IFERROR(VALUE(RIGHT(O65,1)),""))</f>
        <v/>
      </c>
      <c r="Z65" s="38">
        <f>IF(P65="","",IFERROR(VALUE(RIGHT(P65,1)),""))</f>
        <v/>
      </c>
      <c r="AA65" s="38">
        <f>IF(Q65="","",IFERROR(VALUE(RIGHT(Q65,1)),""))</f>
        <v/>
      </c>
      <c r="AB65" s="38">
        <f>IF(OR(M65="",W65=""),"",IFERROR(ROUND(440*2^((12*(W65+1)+IFERROR(MATCH(R65,{"C","C#","D","D#","E","F","F#","G","G#","A","A#","B"},0)-1,MATCH(R65,{"C","Db","D","Eb","E","F","Gb","G","Ab","A","Bb","B"},0)-1)-69)/12),2),""))</f>
        <v/>
      </c>
      <c r="AC65" s="38">
        <f>IF(OR(N65="",X65=""),"",IFERROR(ROUND(440*2^((12*(X65+1)+IFERROR(MATCH(S65,{"C","C#","D","D#","E","F","F#","G","G#","A","A#","B"},0)-1,MATCH(S65,{"C","Db","D","Eb","E","F","Gb","G","Ab","A","Bb","B"},0)-1)-69)/12),2),""))</f>
        <v/>
      </c>
      <c r="AD65" s="38">
        <f>IF(OR(O65="",Y65=""),"",IFERROR(ROUND(440*2^((12*(Y65+1)+IFERROR(MATCH(T65,{"C","C#","D","D#","E","F","F#","G","G#","A","A#","B"},0)-1,MATCH(T65,{"C","Db","D","Eb","E","F","Gb","G","Ab","A","Bb","B"},0)-1)-69)/12),2),""))</f>
        <v/>
      </c>
      <c r="AE65" s="38">
        <f>IF(OR(P65="",Z65=""),"",IFERROR(ROUND(440*2^((12*(Z65+1)+IFERROR(MATCH(U65,{"C","C#","D","D#","E","F","F#","G","G#","A","A#","B"},0)-1,MATCH(U65,{"C","Db","D","Eb","E","F","Gb","G","Ab","A","Bb","B"},0)-1)-69)/12),2),""))</f>
        <v/>
      </c>
      <c r="AF65" s="38">
        <f>IF(OR(Q65="",AA65=""),"",IFERROR(ROUND(440*2^((12*(AA65+1)+IFERROR(MATCH(V65,{"C","C#","D","D#","E","F","F#","G","G#","A","A#","B"},0)-1,MATCH(V65,{"C","Db","D","Eb","E","F","Gb","G","Ab","A","Bb","B"},0)-1)-69)/12),2),""))</f>
        <v/>
      </c>
      <c r="AG65" s="36" t="n"/>
      <c r="AH65" s="36" t="n"/>
      <c r="AI65" s="36" t="n"/>
      <c r="AJ65" s="36" t="inlineStr">
        <is>
          <t>Low</t>
        </is>
      </c>
      <c r="AK65" s="36" t="inlineStr">
        <is>
          <t>Low</t>
        </is>
      </c>
      <c r="AL65" s="35" t="n"/>
    </row>
    <row r="66">
      <c r="A66" s="35" t="inlineStr">
        <is>
          <t>TEST_007</t>
        </is>
      </c>
      <c r="B66" s="35" t="n">
        <v>4</v>
      </c>
      <c r="C66" s="36" t="n"/>
      <c r="D66" s="36" t="n"/>
      <c r="E66" s="36" t="n"/>
      <c r="F66" s="36" t="n">
        <v>4.92</v>
      </c>
      <c r="G66" s="36" t="n">
        <v>7.08</v>
      </c>
      <c r="H66" s="36" t="n"/>
      <c r="I66" s="36" t="n"/>
      <c r="J66" s="36" t="n"/>
      <c r="K66" s="36" t="n">
        <v>5.33</v>
      </c>
      <c r="L66" s="36" t="n">
        <v>7.42</v>
      </c>
      <c r="M66" s="36" t="n"/>
      <c r="N66" s="36" t="n"/>
      <c r="O66" s="36" t="n"/>
      <c r="P66" s="36" t="inlineStr">
        <is>
          <t>D4</t>
        </is>
      </c>
      <c r="Q66" s="36" t="inlineStr">
        <is>
          <t>F#3</t>
        </is>
      </c>
      <c r="R66" s="38">
        <f>IF(M66="","",LEFT(M66,LEN(M66)-1))</f>
        <v/>
      </c>
      <c r="S66" s="38">
        <f>IF(N66="","",LEFT(N66,LEN(N66)-1))</f>
        <v/>
      </c>
      <c r="T66" s="38">
        <f>IF(O66="","",LEFT(O66,LEN(O66)-1))</f>
        <v/>
      </c>
      <c r="U66" s="38">
        <f>IF(P66="","",LEFT(P66,LEN(P66)-1))</f>
        <v/>
      </c>
      <c r="V66" s="38">
        <f>IF(Q66="","",LEFT(Q66,LEN(Q66)-1))</f>
        <v/>
      </c>
      <c r="W66" s="38">
        <f>IF(M66="","",IFERROR(VALUE(RIGHT(M66,1)),""))</f>
        <v/>
      </c>
      <c r="X66" s="38">
        <f>IF(N66="","",IFERROR(VALUE(RIGHT(N66,1)),""))</f>
        <v/>
      </c>
      <c r="Y66" s="38">
        <f>IF(O66="","",IFERROR(VALUE(RIGHT(O66,1)),""))</f>
        <v/>
      </c>
      <c r="Z66" s="38">
        <f>IF(P66="","",IFERROR(VALUE(RIGHT(P66,1)),""))</f>
        <v/>
      </c>
      <c r="AA66" s="38">
        <f>IF(Q66="","",IFERROR(VALUE(RIGHT(Q66,1)),""))</f>
        <v/>
      </c>
      <c r="AB66" s="38">
        <f>IF(OR(M66="",W66=""),"",IFERROR(ROUND(440*2^((12*(W66+1)+IFERROR(MATCH(R66,{"C","C#","D","D#","E","F","F#","G","G#","A","A#","B"},0)-1,MATCH(R66,{"C","Db","D","Eb","E","F","Gb","G","Ab","A","Bb","B"},0)-1)-69)/12),2),""))</f>
        <v/>
      </c>
      <c r="AC66" s="38">
        <f>IF(OR(N66="",X66=""),"",IFERROR(ROUND(440*2^((12*(X66+1)+IFERROR(MATCH(S66,{"C","C#","D","D#","E","F","F#","G","G#","A","A#","B"},0)-1,MATCH(S66,{"C","Db","D","Eb","E","F","Gb","G","Ab","A","Bb","B"},0)-1)-69)/12),2),""))</f>
        <v/>
      </c>
      <c r="AD66" s="38">
        <f>IF(OR(O66="",Y66=""),"",IFERROR(ROUND(440*2^((12*(Y66+1)+IFERROR(MATCH(T66,{"C","C#","D","D#","E","F","F#","G","G#","A","A#","B"},0)-1,MATCH(T66,{"C","Db","D","Eb","E","F","Gb","G","Ab","A","Bb","B"},0)-1)-69)/12),2),""))</f>
        <v/>
      </c>
      <c r="AE66" s="38">
        <f>IF(OR(P66="",Z66=""),"",IFERROR(ROUND(440*2^((12*(Z66+1)+IFERROR(MATCH(U66,{"C","C#","D","D#","E","F","F#","G","G#","A","A#","B"},0)-1,MATCH(U66,{"C","Db","D","Eb","E","F","Gb","G","Ab","A","Bb","B"},0)-1)-69)/12),2),""))</f>
        <v/>
      </c>
      <c r="AF66" s="38">
        <f>IF(OR(Q66="",AA66=""),"",IFERROR(ROUND(440*2^((12*(AA66+1)+IFERROR(MATCH(V66,{"C","C#","D","D#","E","F","F#","G","G#","A","A#","B"},0)-1,MATCH(V66,{"C","Db","D","Eb","E","F","Gb","G","Ab","A","Bb","B"},0)-1)-69)/12),2),""))</f>
        <v/>
      </c>
      <c r="AG66" s="36" t="n"/>
      <c r="AH66" s="36" t="n"/>
      <c r="AI66" s="36" t="n"/>
      <c r="AJ66" s="36" t="inlineStr">
        <is>
          <t>Low</t>
        </is>
      </c>
      <c r="AK66" s="36" t="inlineStr">
        <is>
          <t>Low</t>
        </is>
      </c>
      <c r="AL66" s="35" t="n"/>
    </row>
    <row r="67">
      <c r="A67" s="35" t="inlineStr">
        <is>
          <t>TEST_007</t>
        </is>
      </c>
      <c r="B67" s="35" t="n">
        <v>5</v>
      </c>
      <c r="C67" s="36" t="n"/>
      <c r="D67" s="36" t="n"/>
      <c r="E67" s="36" t="n"/>
      <c r="F67" s="36" t="n">
        <v>10.95</v>
      </c>
      <c r="G67" s="36" t="n">
        <v>7.5</v>
      </c>
      <c r="H67" s="36" t="n"/>
      <c r="I67" s="36" t="n"/>
      <c r="J67" s="36" t="n"/>
      <c r="K67" s="36" t="n">
        <v>11.11</v>
      </c>
      <c r="L67" s="36" t="n">
        <v>7.89</v>
      </c>
      <c r="M67" s="36" t="n"/>
      <c r="N67" s="36" t="n"/>
      <c r="O67" s="36" t="n"/>
      <c r="P67" s="36" t="inlineStr">
        <is>
          <t>B4</t>
        </is>
      </c>
      <c r="Q67" s="36" t="inlineStr">
        <is>
          <t>C3</t>
        </is>
      </c>
      <c r="R67" s="38">
        <f>IF(M67="","",LEFT(M67,LEN(M67)-1))</f>
        <v/>
      </c>
      <c r="S67" s="38">
        <f>IF(N67="","",LEFT(N67,LEN(N67)-1))</f>
        <v/>
      </c>
      <c r="T67" s="38">
        <f>IF(O67="","",LEFT(O67,LEN(O67)-1))</f>
        <v/>
      </c>
      <c r="U67" s="38">
        <f>IF(P67="","",LEFT(P67,LEN(P67)-1))</f>
        <v/>
      </c>
      <c r="V67" s="38">
        <f>IF(Q67="","",LEFT(Q67,LEN(Q67)-1))</f>
        <v/>
      </c>
      <c r="W67" s="38">
        <f>IF(M67="","",IFERROR(VALUE(RIGHT(M67,1)),""))</f>
        <v/>
      </c>
      <c r="X67" s="38">
        <f>IF(N67="","",IFERROR(VALUE(RIGHT(N67,1)),""))</f>
        <v/>
      </c>
      <c r="Y67" s="38">
        <f>IF(O67="","",IFERROR(VALUE(RIGHT(O67,1)),""))</f>
        <v/>
      </c>
      <c r="Z67" s="38">
        <f>IF(P67="","",IFERROR(VALUE(RIGHT(P67,1)),""))</f>
        <v/>
      </c>
      <c r="AA67" s="38">
        <f>IF(Q67="","",IFERROR(VALUE(RIGHT(Q67,1)),""))</f>
        <v/>
      </c>
      <c r="AB67" s="38">
        <f>IF(OR(M67="",W67=""),"",IFERROR(ROUND(440*2^((12*(W67+1)+IFERROR(MATCH(R67,{"C","C#","D","D#","E","F","F#","G","G#","A","A#","B"},0)-1,MATCH(R67,{"C","Db","D","Eb","E","F","Gb","G","Ab","A","Bb","B"},0)-1)-69)/12),2),""))</f>
        <v/>
      </c>
      <c r="AC67" s="38">
        <f>IF(OR(N67="",X67=""),"",IFERROR(ROUND(440*2^((12*(X67+1)+IFERROR(MATCH(S67,{"C","C#","D","D#","E","F","F#","G","G#","A","A#","B"},0)-1,MATCH(S67,{"C","Db","D","Eb","E","F","Gb","G","Ab","A","Bb","B"},0)-1)-69)/12),2),""))</f>
        <v/>
      </c>
      <c r="AD67" s="38">
        <f>IF(OR(O67="",Y67=""),"",IFERROR(ROUND(440*2^((12*(Y67+1)+IFERROR(MATCH(T67,{"C","C#","D","D#","E","F","F#","G","G#","A","A#","B"},0)-1,MATCH(T67,{"C","Db","D","Eb","E","F","Gb","G","Ab","A","Bb","B"},0)-1)-69)/12),2),""))</f>
        <v/>
      </c>
      <c r="AE67" s="38">
        <f>IF(OR(P67="",Z67=""),"",IFERROR(ROUND(440*2^((12*(Z67+1)+IFERROR(MATCH(U67,{"C","C#","D","D#","E","F","F#","G","G#","A","A#","B"},0)-1,MATCH(U67,{"C","Db","D","Eb","E","F","Gb","G","Ab","A","Bb","B"},0)-1)-69)/12),2),""))</f>
        <v/>
      </c>
      <c r="AF67" s="38">
        <f>IF(OR(Q67="",AA67=""),"",IFERROR(ROUND(440*2^((12*(AA67+1)+IFERROR(MATCH(V67,{"C","C#","D","D#","E","F","F#","G","G#","A","A#","B"},0)-1,MATCH(V67,{"C","Db","D","Eb","E","F","Gb","G","Ab","A","Bb","B"},0)-1)-69)/12),2),""))</f>
        <v/>
      </c>
      <c r="AG67" s="36" t="n"/>
      <c r="AH67" s="36" t="n"/>
      <c r="AI67" s="36" t="n"/>
      <c r="AJ67" s="36" t="inlineStr">
        <is>
          <t>Low</t>
        </is>
      </c>
      <c r="AK67" s="36" t="inlineStr">
        <is>
          <t>Low</t>
        </is>
      </c>
      <c r="AL67" s="35" t="n"/>
    </row>
    <row r="68">
      <c r="A68" s="35" t="inlineStr">
        <is>
          <t>TEST_007</t>
        </is>
      </c>
      <c r="B68" s="35" t="n">
        <v>6</v>
      </c>
      <c r="C68" s="36" t="n"/>
      <c r="D68" s="36" t="n"/>
      <c r="E68" s="36" t="n"/>
      <c r="F68" s="36" t="n">
        <v>11.94</v>
      </c>
      <c r="G68" s="36" t="n">
        <v>7.95</v>
      </c>
      <c r="H68" s="36" t="n"/>
      <c r="I68" s="36" t="n"/>
      <c r="J68" s="36" t="n"/>
      <c r="K68" s="36" t="n">
        <v>12.12</v>
      </c>
      <c r="L68" s="36" t="n">
        <v>8.43</v>
      </c>
      <c r="M68" s="36" t="n"/>
      <c r="N68" s="36" t="n"/>
      <c r="O68" s="36" t="n"/>
      <c r="P68" s="36" t="inlineStr">
        <is>
          <t>G3</t>
        </is>
      </c>
      <c r="Q68" s="36" t="inlineStr">
        <is>
          <t>A2</t>
        </is>
      </c>
      <c r="R68" s="38">
        <f>IF(M68="","",LEFT(M68,LEN(M68)-1))</f>
        <v/>
      </c>
      <c r="S68" s="38">
        <f>IF(N68="","",LEFT(N68,LEN(N68)-1))</f>
        <v/>
      </c>
      <c r="T68" s="38">
        <f>IF(O68="","",LEFT(O68,LEN(O68)-1))</f>
        <v/>
      </c>
      <c r="U68" s="38">
        <f>IF(P68="","",LEFT(P68,LEN(P68)-1))</f>
        <v/>
      </c>
      <c r="V68" s="38">
        <f>IF(Q68="","",LEFT(Q68,LEN(Q68)-1))</f>
        <v/>
      </c>
      <c r="W68" s="38">
        <f>IF(M68="","",IFERROR(VALUE(RIGHT(M68,1)),""))</f>
        <v/>
      </c>
      <c r="X68" s="38">
        <f>IF(N68="","",IFERROR(VALUE(RIGHT(N68,1)),""))</f>
        <v/>
      </c>
      <c r="Y68" s="38">
        <f>IF(O68="","",IFERROR(VALUE(RIGHT(O68,1)),""))</f>
        <v/>
      </c>
      <c r="Z68" s="38">
        <f>IF(P68="","",IFERROR(VALUE(RIGHT(P68,1)),""))</f>
        <v/>
      </c>
      <c r="AA68" s="38">
        <f>IF(Q68="","",IFERROR(VALUE(RIGHT(Q68,1)),""))</f>
        <v/>
      </c>
      <c r="AB68" s="38">
        <f>IF(OR(M68="",W68=""),"",IFERROR(ROUND(440*2^((12*(W68+1)+IFERROR(MATCH(R68,{"C","C#","D","D#","E","F","F#","G","G#","A","A#","B"},0)-1,MATCH(R68,{"C","Db","D","Eb","E","F","Gb","G","Ab","A","Bb","B"},0)-1)-69)/12),2),""))</f>
        <v/>
      </c>
      <c r="AC68" s="38">
        <f>IF(OR(N68="",X68=""),"",IFERROR(ROUND(440*2^((12*(X68+1)+IFERROR(MATCH(S68,{"C","C#","D","D#","E","F","F#","G","G#","A","A#","B"},0)-1,MATCH(S68,{"C","Db","D","Eb","E","F","Gb","G","Ab","A","Bb","B"},0)-1)-69)/12),2),""))</f>
        <v/>
      </c>
      <c r="AD68" s="38">
        <f>IF(OR(O68="",Y68=""),"",IFERROR(ROUND(440*2^((12*(Y68+1)+IFERROR(MATCH(T68,{"C","C#","D","D#","E","F","F#","G","G#","A","A#","B"},0)-1,MATCH(T68,{"C","Db","D","Eb","E","F","Gb","G","Ab","A","Bb","B"},0)-1)-69)/12),2),""))</f>
        <v/>
      </c>
      <c r="AE68" s="38">
        <f>IF(OR(P68="",Z68=""),"",IFERROR(ROUND(440*2^((12*(Z68+1)+IFERROR(MATCH(U68,{"C","C#","D","D#","E","F","F#","G","G#","A","A#","B"},0)-1,MATCH(U68,{"C","Db","D","Eb","E","F","Gb","G","Ab","A","Bb","B"},0)-1)-69)/12),2),""))</f>
        <v/>
      </c>
      <c r="AF68" s="38">
        <f>IF(OR(Q68="",AA68=""),"",IFERROR(ROUND(440*2^((12*(AA68+1)+IFERROR(MATCH(V68,{"C","C#","D","D#","E","F","F#","G","G#","A","A#","B"},0)-1,MATCH(V68,{"C","Db","D","Eb","E","F","Gb","G","Ab","A","Bb","B"},0)-1)-69)/12),2),""))</f>
        <v/>
      </c>
      <c r="AG68" s="36" t="n"/>
      <c r="AH68" s="36" t="n"/>
      <c r="AI68" s="36" t="n"/>
      <c r="AJ68" s="36" t="inlineStr">
        <is>
          <t>Low</t>
        </is>
      </c>
      <c r="AK68" s="36" t="inlineStr">
        <is>
          <t>Medium</t>
        </is>
      </c>
      <c r="AL68" s="35" t="n"/>
    </row>
    <row r="69">
      <c r="A69" s="35" t="inlineStr">
        <is>
          <t>TEST_007</t>
        </is>
      </c>
      <c r="B69" s="35" t="n">
        <v>7</v>
      </c>
      <c r="C69" s="36" t="n"/>
      <c r="D69" s="36" t="n"/>
      <c r="E69" s="36" t="n"/>
      <c r="F69" s="36" t="n">
        <v>12.94</v>
      </c>
      <c r="G69" s="36" t="n">
        <v>8.539999999999999</v>
      </c>
      <c r="H69" s="36" t="n"/>
      <c r="I69" s="36" t="n"/>
      <c r="J69" s="36" t="n"/>
      <c r="K69" s="36" t="n">
        <v>13.09</v>
      </c>
      <c r="L69" s="36" t="n">
        <v>8.85</v>
      </c>
      <c r="M69" s="36" t="n"/>
      <c r="N69" s="36" t="n"/>
      <c r="O69" s="36" t="n"/>
      <c r="P69" s="36" t="inlineStr">
        <is>
          <t>B4</t>
        </is>
      </c>
      <c r="Q69" s="36" t="inlineStr">
        <is>
          <t>A#2</t>
        </is>
      </c>
      <c r="R69" s="38">
        <f>IF(M69="","",LEFT(M69,LEN(M69)-1))</f>
        <v/>
      </c>
      <c r="S69" s="38">
        <f>IF(N69="","",LEFT(N69,LEN(N69)-1))</f>
        <v/>
      </c>
      <c r="T69" s="38">
        <f>IF(O69="","",LEFT(O69,LEN(O69)-1))</f>
        <v/>
      </c>
      <c r="U69" s="38">
        <f>IF(P69="","",LEFT(P69,LEN(P69)-1))</f>
        <v/>
      </c>
      <c r="V69" s="38">
        <f>IF(Q69="","",LEFT(Q69,LEN(Q69)-1))</f>
        <v/>
      </c>
      <c r="W69" s="38">
        <f>IF(M69="","",IFERROR(VALUE(RIGHT(M69,1)),""))</f>
        <v/>
      </c>
      <c r="X69" s="38">
        <f>IF(N69="","",IFERROR(VALUE(RIGHT(N69,1)),""))</f>
        <v/>
      </c>
      <c r="Y69" s="38">
        <f>IF(O69="","",IFERROR(VALUE(RIGHT(O69,1)),""))</f>
        <v/>
      </c>
      <c r="Z69" s="38">
        <f>IF(P69="","",IFERROR(VALUE(RIGHT(P69,1)),""))</f>
        <v/>
      </c>
      <c r="AA69" s="38">
        <f>IF(Q69="","",IFERROR(VALUE(RIGHT(Q69,1)),""))</f>
        <v/>
      </c>
      <c r="AB69" s="38">
        <f>IF(OR(M69="",W69=""),"",IFERROR(ROUND(440*2^((12*(W69+1)+IFERROR(MATCH(R69,{"C","C#","D","D#","E","F","F#","G","G#","A","A#","B"},0)-1,MATCH(R69,{"C","Db","D","Eb","E","F","Gb","G","Ab","A","Bb","B"},0)-1)-69)/12),2),""))</f>
        <v/>
      </c>
      <c r="AC69" s="38">
        <f>IF(OR(N69="",X69=""),"",IFERROR(ROUND(440*2^((12*(X69+1)+IFERROR(MATCH(S69,{"C","C#","D","D#","E","F","F#","G","G#","A","A#","B"},0)-1,MATCH(S69,{"C","Db","D","Eb","E","F","Gb","G","Ab","A","Bb","B"},0)-1)-69)/12),2),""))</f>
        <v/>
      </c>
      <c r="AD69" s="38">
        <f>IF(OR(O69="",Y69=""),"",IFERROR(ROUND(440*2^((12*(Y69+1)+IFERROR(MATCH(T69,{"C","C#","D","D#","E","F","F#","G","G#","A","A#","B"},0)-1,MATCH(T69,{"C","Db","D","Eb","E","F","Gb","G","Ab","A","Bb","B"},0)-1)-69)/12),2),""))</f>
        <v/>
      </c>
      <c r="AE69" s="38">
        <f>IF(OR(P69="",Z69=""),"",IFERROR(ROUND(440*2^((12*(Z69+1)+IFERROR(MATCH(U69,{"C","C#","D","D#","E","F","F#","G","G#","A","A#","B"},0)-1,MATCH(U69,{"C","Db","D","Eb","E","F","Gb","G","Ab","A","Bb","B"},0)-1)-69)/12),2),""))</f>
        <v/>
      </c>
      <c r="AF69" s="38">
        <f>IF(OR(Q69="",AA69=""),"",IFERROR(ROUND(440*2^((12*(AA69+1)+IFERROR(MATCH(V69,{"C","C#","D","D#","E","F","F#","G","G#","A","A#","B"},0)-1,MATCH(V69,{"C","Db","D","Eb","E","F","Gb","G","Ab","A","Bb","B"},0)-1)-69)/12),2),""))</f>
        <v/>
      </c>
      <c r="AG69" s="36" t="n"/>
      <c r="AH69" s="36" t="n"/>
      <c r="AI69" s="36" t="n"/>
      <c r="AJ69" s="36" t="inlineStr">
        <is>
          <t>Low</t>
        </is>
      </c>
      <c r="AK69" s="36" t="inlineStr">
        <is>
          <t>Low</t>
        </is>
      </c>
      <c r="AL69" s="35" t="n"/>
    </row>
    <row r="70">
      <c r="A70" s="35" t="inlineStr">
        <is>
          <t>TEST_007</t>
        </is>
      </c>
      <c r="B70" s="35" t="n">
        <v>8</v>
      </c>
      <c r="C70" s="36" t="n"/>
      <c r="D70" s="36" t="n"/>
      <c r="E70" s="36" t="n"/>
      <c r="F70" s="36" t="n">
        <v>15</v>
      </c>
      <c r="G70" s="36" t="n">
        <v>8.94</v>
      </c>
      <c r="H70" s="36" t="n"/>
      <c r="I70" s="36" t="n"/>
      <c r="J70" s="36" t="n"/>
      <c r="K70" s="36" t="n">
        <v>15.43</v>
      </c>
      <c r="L70" s="36" t="n">
        <v>9.31</v>
      </c>
      <c r="M70" s="36" t="n"/>
      <c r="N70" s="36" t="n"/>
      <c r="O70" s="36" t="n"/>
      <c r="P70" s="36" t="inlineStr">
        <is>
          <t>G4</t>
        </is>
      </c>
      <c r="Q70" s="36" t="inlineStr">
        <is>
          <t>G#2</t>
        </is>
      </c>
      <c r="R70" s="38">
        <f>IF(M70="","",LEFT(M70,LEN(M70)-1))</f>
        <v/>
      </c>
      <c r="S70" s="38">
        <f>IF(N70="","",LEFT(N70,LEN(N70)-1))</f>
        <v/>
      </c>
      <c r="T70" s="38">
        <f>IF(O70="","",LEFT(O70,LEN(O70)-1))</f>
        <v/>
      </c>
      <c r="U70" s="38">
        <f>IF(P70="","",LEFT(P70,LEN(P70)-1))</f>
        <v/>
      </c>
      <c r="V70" s="38">
        <f>IF(Q70="","",LEFT(Q70,LEN(Q70)-1))</f>
        <v/>
      </c>
      <c r="W70" s="38">
        <f>IF(M70="","",IFERROR(VALUE(RIGHT(M70,1)),""))</f>
        <v/>
      </c>
      <c r="X70" s="38">
        <f>IF(N70="","",IFERROR(VALUE(RIGHT(N70,1)),""))</f>
        <v/>
      </c>
      <c r="Y70" s="38">
        <f>IF(O70="","",IFERROR(VALUE(RIGHT(O70,1)),""))</f>
        <v/>
      </c>
      <c r="Z70" s="38">
        <f>IF(P70="","",IFERROR(VALUE(RIGHT(P70,1)),""))</f>
        <v/>
      </c>
      <c r="AA70" s="38">
        <f>IF(Q70="","",IFERROR(VALUE(RIGHT(Q70,1)),""))</f>
        <v/>
      </c>
      <c r="AB70" s="38">
        <f>IF(OR(M70="",W70=""),"",IFERROR(ROUND(440*2^((12*(W70+1)+IFERROR(MATCH(R70,{"C","C#","D","D#","E","F","F#","G","G#","A","A#","B"},0)-1,MATCH(R70,{"C","Db","D","Eb","E","F","Gb","G","Ab","A","Bb","B"},0)-1)-69)/12),2),""))</f>
        <v/>
      </c>
      <c r="AC70" s="38">
        <f>IF(OR(N70="",X70=""),"",IFERROR(ROUND(440*2^((12*(X70+1)+IFERROR(MATCH(S70,{"C","C#","D","D#","E","F","F#","G","G#","A","A#","B"},0)-1,MATCH(S70,{"C","Db","D","Eb","E","F","Gb","G","Ab","A","Bb","B"},0)-1)-69)/12),2),""))</f>
        <v/>
      </c>
      <c r="AD70" s="38">
        <f>IF(OR(O70="",Y70=""),"",IFERROR(ROUND(440*2^((12*(Y70+1)+IFERROR(MATCH(T70,{"C","C#","D","D#","E","F","F#","G","G#","A","A#","B"},0)-1,MATCH(T70,{"C","Db","D","Eb","E","F","Gb","G","Ab","A","Bb","B"},0)-1)-69)/12),2),""))</f>
        <v/>
      </c>
      <c r="AE70" s="38">
        <f>IF(OR(P70="",Z70=""),"",IFERROR(ROUND(440*2^((12*(Z70+1)+IFERROR(MATCH(U70,{"C","C#","D","D#","E","F","F#","G","G#","A","A#","B"},0)-1,MATCH(U70,{"C","Db","D","Eb","E","F","Gb","G","Ab","A","Bb","B"},0)-1)-69)/12),2),""))</f>
        <v/>
      </c>
      <c r="AF70" s="38">
        <f>IF(OR(Q70="",AA70=""),"",IFERROR(ROUND(440*2^((12*(AA70+1)+IFERROR(MATCH(V70,{"C","C#","D","D#","E","F","F#","G","G#","A","A#","B"},0)-1,MATCH(V70,{"C","Db","D","Eb","E","F","Gb","G","Ab","A","Bb","B"},0)-1)-69)/12),2),""))</f>
        <v/>
      </c>
      <c r="AG70" s="36" t="n"/>
      <c r="AH70" s="36" t="n"/>
      <c r="AI70" s="36" t="n"/>
      <c r="AJ70" s="36" t="inlineStr">
        <is>
          <t>Low</t>
        </is>
      </c>
      <c r="AK70" s="36" t="inlineStr">
        <is>
          <t>Low</t>
        </is>
      </c>
      <c r="AL70" s="35" t="n"/>
    </row>
    <row r="71">
      <c r="A71" s="35" t="inlineStr">
        <is>
          <t>TEST_007</t>
        </is>
      </c>
      <c r="B71" s="35" t="n">
        <v>9</v>
      </c>
      <c r="C71" s="36" t="n"/>
      <c r="D71" s="36" t="n"/>
      <c r="E71" s="36" t="n"/>
      <c r="F71" s="36" t="n">
        <v>16.97</v>
      </c>
      <c r="G71" s="36" t="n">
        <v>9.31</v>
      </c>
      <c r="H71" s="36" t="n"/>
      <c r="I71" s="36" t="n"/>
      <c r="J71" s="36" t="n"/>
      <c r="K71" s="36" t="n">
        <v>17.41</v>
      </c>
      <c r="L71" s="36" t="n">
        <v>9.880000000000001</v>
      </c>
      <c r="M71" s="36" t="n"/>
      <c r="N71" s="36" t="n"/>
      <c r="O71" s="36" t="n"/>
      <c r="P71" s="36" t="inlineStr">
        <is>
          <t>F#4</t>
        </is>
      </c>
      <c r="Q71" s="36" t="inlineStr">
        <is>
          <t>A2</t>
        </is>
      </c>
      <c r="R71" s="38">
        <f>IF(M71="","",LEFT(M71,LEN(M71)-1))</f>
        <v/>
      </c>
      <c r="S71" s="38">
        <f>IF(N71="","",LEFT(N71,LEN(N71)-1))</f>
        <v/>
      </c>
      <c r="T71" s="38">
        <f>IF(O71="","",LEFT(O71,LEN(O71)-1))</f>
        <v/>
      </c>
      <c r="U71" s="38">
        <f>IF(P71="","",LEFT(P71,LEN(P71)-1))</f>
        <v/>
      </c>
      <c r="V71" s="38">
        <f>IF(Q71="","",LEFT(Q71,LEN(Q71)-1))</f>
        <v/>
      </c>
      <c r="W71" s="38">
        <f>IF(M71="","",IFERROR(VALUE(RIGHT(M71,1)),""))</f>
        <v/>
      </c>
      <c r="X71" s="38">
        <f>IF(N71="","",IFERROR(VALUE(RIGHT(N71,1)),""))</f>
        <v/>
      </c>
      <c r="Y71" s="38">
        <f>IF(O71="","",IFERROR(VALUE(RIGHT(O71,1)),""))</f>
        <v/>
      </c>
      <c r="Z71" s="38">
        <f>IF(P71="","",IFERROR(VALUE(RIGHT(P71,1)),""))</f>
        <v/>
      </c>
      <c r="AA71" s="38">
        <f>IF(Q71="","",IFERROR(VALUE(RIGHT(Q71,1)),""))</f>
        <v/>
      </c>
      <c r="AB71" s="38">
        <f>IF(OR(M71="",W71=""),"",IFERROR(ROUND(440*2^((12*(W71+1)+IFERROR(MATCH(R71,{"C","C#","D","D#","E","F","F#","G","G#","A","A#","B"},0)-1,MATCH(R71,{"C","Db","D","Eb","E","F","Gb","G","Ab","A","Bb","B"},0)-1)-69)/12),2),""))</f>
        <v/>
      </c>
      <c r="AC71" s="38">
        <f>IF(OR(N71="",X71=""),"",IFERROR(ROUND(440*2^((12*(X71+1)+IFERROR(MATCH(S71,{"C","C#","D","D#","E","F","F#","G","G#","A","A#","B"},0)-1,MATCH(S71,{"C","Db","D","Eb","E","F","Gb","G","Ab","A","Bb","B"},0)-1)-69)/12),2),""))</f>
        <v/>
      </c>
      <c r="AD71" s="38">
        <f>IF(OR(O71="",Y71=""),"",IFERROR(ROUND(440*2^((12*(Y71+1)+IFERROR(MATCH(T71,{"C","C#","D","D#","E","F","F#","G","G#","A","A#","B"},0)-1,MATCH(T71,{"C","Db","D","Eb","E","F","Gb","G","Ab","A","Bb","B"},0)-1)-69)/12),2),""))</f>
        <v/>
      </c>
      <c r="AE71" s="38">
        <f>IF(OR(P71="",Z71=""),"",IFERROR(ROUND(440*2^((12*(Z71+1)+IFERROR(MATCH(U71,{"C","C#","D","D#","E","F","F#","G","G#","A","A#","B"},0)-1,MATCH(U71,{"C","Db","D","Eb","E","F","Gb","G","Ab","A","Bb","B"},0)-1)-69)/12),2),""))</f>
        <v/>
      </c>
      <c r="AF71" s="38">
        <f>IF(OR(Q71="",AA71=""),"",IFERROR(ROUND(440*2^((12*(AA71+1)+IFERROR(MATCH(V71,{"C","C#","D","D#","E","F","F#","G","G#","A","A#","B"},0)-1,MATCH(V71,{"C","Db","D","Eb","E","F","Gb","G","Ab","A","Bb","B"},0)-1)-69)/12),2),""))</f>
        <v/>
      </c>
      <c r="AG71" s="36" t="n"/>
      <c r="AH71" s="36" t="n"/>
      <c r="AI71" s="36" t="n"/>
      <c r="AJ71" s="36" t="inlineStr">
        <is>
          <t>Low</t>
        </is>
      </c>
      <c r="AK71" s="36" t="inlineStr">
        <is>
          <t>Low</t>
        </is>
      </c>
      <c r="AL71" s="35" t="n"/>
    </row>
    <row r="72">
      <c r="A72" s="35" t="inlineStr">
        <is>
          <t>TEST_007</t>
        </is>
      </c>
      <c r="B72" s="35" t="n">
        <v>10</v>
      </c>
      <c r="C72" s="36" t="n"/>
      <c r="D72" s="36" t="n"/>
      <c r="E72" s="36" t="n"/>
      <c r="F72" s="36" t="n">
        <v>17.49</v>
      </c>
      <c r="G72" s="36" t="n">
        <v>9.9</v>
      </c>
      <c r="H72" s="36" t="n"/>
      <c r="I72" s="36" t="n"/>
      <c r="J72" s="36" t="n"/>
      <c r="K72" s="36" t="n">
        <v>17.88</v>
      </c>
      <c r="L72" s="36" t="n">
        <v>10.4</v>
      </c>
      <c r="M72" s="36" t="n"/>
      <c r="N72" s="36" t="n"/>
      <c r="O72" s="36" t="n"/>
      <c r="P72" s="36" t="inlineStr">
        <is>
          <t>G3</t>
        </is>
      </c>
      <c r="Q72" s="36" t="inlineStr">
        <is>
          <t>A#2</t>
        </is>
      </c>
      <c r="R72" s="38">
        <f>IF(M72="","",LEFT(M72,LEN(M72)-1))</f>
        <v/>
      </c>
      <c r="S72" s="38">
        <f>IF(N72="","",LEFT(N72,LEN(N72)-1))</f>
        <v/>
      </c>
      <c r="T72" s="38">
        <f>IF(O72="","",LEFT(O72,LEN(O72)-1))</f>
        <v/>
      </c>
      <c r="U72" s="38">
        <f>IF(P72="","",LEFT(P72,LEN(P72)-1))</f>
        <v/>
      </c>
      <c r="V72" s="38">
        <f>IF(Q72="","",LEFT(Q72,LEN(Q72)-1))</f>
        <v/>
      </c>
      <c r="W72" s="38">
        <f>IF(M72="","",IFERROR(VALUE(RIGHT(M72,1)),""))</f>
        <v/>
      </c>
      <c r="X72" s="38">
        <f>IF(N72="","",IFERROR(VALUE(RIGHT(N72,1)),""))</f>
        <v/>
      </c>
      <c r="Y72" s="38">
        <f>IF(O72="","",IFERROR(VALUE(RIGHT(O72,1)),""))</f>
        <v/>
      </c>
      <c r="Z72" s="38">
        <f>IF(P72="","",IFERROR(VALUE(RIGHT(P72,1)),""))</f>
        <v/>
      </c>
      <c r="AA72" s="38">
        <f>IF(Q72="","",IFERROR(VALUE(RIGHT(Q72,1)),""))</f>
        <v/>
      </c>
      <c r="AB72" s="38">
        <f>IF(OR(M72="",W72=""),"",IFERROR(ROUND(440*2^((12*(W72+1)+IFERROR(MATCH(R72,{"C","C#","D","D#","E","F","F#","G","G#","A","A#","B"},0)-1,MATCH(R72,{"C","Db","D","Eb","E","F","Gb","G","Ab","A","Bb","B"},0)-1)-69)/12),2),""))</f>
        <v/>
      </c>
      <c r="AC72" s="38">
        <f>IF(OR(N72="",X72=""),"",IFERROR(ROUND(440*2^((12*(X72+1)+IFERROR(MATCH(S72,{"C","C#","D","D#","E","F","F#","G","G#","A","A#","B"},0)-1,MATCH(S72,{"C","Db","D","Eb","E","F","Gb","G","Ab","A","Bb","B"},0)-1)-69)/12),2),""))</f>
        <v/>
      </c>
      <c r="AD72" s="38">
        <f>IF(OR(O72="",Y72=""),"",IFERROR(ROUND(440*2^((12*(Y72+1)+IFERROR(MATCH(T72,{"C","C#","D","D#","E","F","F#","G","G#","A","A#","B"},0)-1,MATCH(T72,{"C","Db","D","Eb","E","F","Gb","G","Ab","A","Bb","B"},0)-1)-69)/12),2),""))</f>
        <v/>
      </c>
      <c r="AE72" s="38">
        <f>IF(OR(P72="",Z72=""),"",IFERROR(ROUND(440*2^((12*(Z72+1)+IFERROR(MATCH(U72,{"C","C#","D","D#","E","F","F#","G","G#","A","A#","B"},0)-1,MATCH(U72,{"C","Db","D","Eb","E","F","Gb","G","Ab","A","Bb","B"},0)-1)-69)/12),2),""))</f>
        <v/>
      </c>
      <c r="AF72" s="38">
        <f>IF(OR(Q72="",AA72=""),"",IFERROR(ROUND(440*2^((12*(AA72+1)+IFERROR(MATCH(V72,{"C","C#","D","D#","E","F","F#","G","G#","A","A#","B"},0)-1,MATCH(V72,{"C","Db","D","Eb","E","F","Gb","G","Ab","A","Bb","B"},0)-1)-69)/12),2),""))</f>
        <v/>
      </c>
      <c r="AG72" s="36" t="n"/>
      <c r="AH72" s="36" t="n"/>
      <c r="AI72" s="36" t="n"/>
      <c r="AJ72" s="36" t="inlineStr">
        <is>
          <t>Low</t>
        </is>
      </c>
      <c r="AK72" s="36" t="inlineStr">
        <is>
          <t>Low</t>
        </is>
      </c>
      <c r="AL72" s="35" t="n"/>
    </row>
    <row r="73">
      <c r="A73" s="35" t="inlineStr">
        <is>
          <t>TEST_008</t>
        </is>
      </c>
      <c r="B73" s="35" t="n">
        <v>1</v>
      </c>
      <c r="C73" s="36" t="n"/>
      <c r="D73" s="36" t="n"/>
      <c r="E73" s="36" t="n"/>
      <c r="F73" s="36" t="n">
        <v>1.07</v>
      </c>
      <c r="G73" s="36" t="n">
        <v>2.08</v>
      </c>
      <c r="H73" s="36" t="n"/>
      <c r="I73" s="36" t="n"/>
      <c r="J73" s="36" t="n"/>
      <c r="K73" s="36" t="n">
        <v>1.33</v>
      </c>
      <c r="L73" s="36" t="n">
        <v>2.25</v>
      </c>
      <c r="M73" s="36" t="n"/>
      <c r="N73" s="36" t="inlineStr">
        <is>
          <t>N/A</t>
        </is>
      </c>
      <c r="O73" s="36" t="inlineStr">
        <is>
          <t>N/A</t>
        </is>
      </c>
      <c r="P73" s="36" t="inlineStr">
        <is>
          <t>E3</t>
        </is>
      </c>
      <c r="Q73" s="36" t="inlineStr">
        <is>
          <t>E2</t>
        </is>
      </c>
      <c r="R73" s="38">
        <f>IF(M73="","",LEFT(M73,LEN(M73)-1))</f>
        <v/>
      </c>
      <c r="S73" s="38">
        <f>IF(N73="","",LEFT(N73,LEN(N73)-1))</f>
        <v/>
      </c>
      <c r="T73" s="38">
        <f>IF(O73="","",LEFT(O73,LEN(O73)-1))</f>
        <v/>
      </c>
      <c r="U73" s="38">
        <f>IF(P73="","",LEFT(P73,LEN(P73)-1))</f>
        <v/>
      </c>
      <c r="V73" s="38">
        <f>IF(Q73="","",LEFT(Q73,LEN(Q73)-1))</f>
        <v/>
      </c>
      <c r="W73" s="38">
        <f>IF(M73="","",IFERROR(VALUE(RIGHT(M73,1)),""))</f>
        <v/>
      </c>
      <c r="X73" s="38">
        <f>IF(N73="","",IFERROR(VALUE(RIGHT(N73,1)),""))</f>
        <v/>
      </c>
      <c r="Y73" s="38">
        <f>IF(O73="","",IFERROR(VALUE(RIGHT(O73,1)),""))</f>
        <v/>
      </c>
      <c r="Z73" s="38">
        <f>IF(P73="","",IFERROR(VALUE(RIGHT(P73,1)),""))</f>
        <v/>
      </c>
      <c r="AA73" s="38">
        <f>IF(Q73="","",IFERROR(VALUE(RIGHT(Q73,1)),""))</f>
        <v/>
      </c>
      <c r="AB73" s="38">
        <f>IF(OR(M73="",W73=""),"",IFERROR(ROUND(440*2^((12*(W73+1)+IFERROR(MATCH(R73,{"C","C#","D","D#","E","F","F#","G","G#","A","A#","B"},0)-1,MATCH(R73,{"C","Db","D","Eb","E","F","Gb","G","Ab","A","Bb","B"},0)-1)-69)/12),2),""))</f>
        <v/>
      </c>
      <c r="AC73" s="38">
        <f>IF(OR(N73="",X73=""),"",IFERROR(ROUND(440*2^((12*(X73+1)+IFERROR(MATCH(S73,{"C","C#","D","D#","E","F","F#","G","G#","A","A#","B"},0)-1,MATCH(S73,{"C","Db","D","Eb","E","F","Gb","G","Ab","A","Bb","B"},0)-1)-69)/12),2),""))</f>
        <v/>
      </c>
      <c r="AD73" s="38">
        <f>IF(OR(O73="",Y73=""),"",IFERROR(ROUND(440*2^((12*(Y73+1)+IFERROR(MATCH(T73,{"C","C#","D","D#","E","F","F#","G","G#","A","A#","B"},0)-1,MATCH(T73,{"C","Db","D","Eb","E","F","Gb","G","Ab","A","Bb","B"},0)-1)-69)/12),2),""))</f>
        <v/>
      </c>
      <c r="AE73" s="38">
        <f>IF(OR(P73="",Z73=""),"",IFERROR(ROUND(440*2^((12*(Z73+1)+IFERROR(MATCH(U73,{"C","C#","D","D#","E","F","F#","G","G#","A","A#","B"},0)-1,MATCH(U73,{"C","Db","D","Eb","E","F","Gb","G","Ab","A","Bb","B"},0)-1)-69)/12),2),""))</f>
        <v/>
      </c>
      <c r="AF73" s="38">
        <f>IF(OR(Q73="",AA73=""),"",IFERROR(ROUND(440*2^((12*(AA73+1)+IFERROR(MATCH(V73,{"C","C#","D","D#","E","F","F#","G","G#","A","A#","B"},0)-1,MATCH(V73,{"C","Db","D","Eb","E","F","Gb","G","Ab","A","Bb","B"},0)-1)-69)/12),2),""))</f>
        <v/>
      </c>
      <c r="AG73" s="36" t="n"/>
      <c r="AH73" s="36" t="n"/>
      <c r="AI73" s="36" t="n"/>
      <c r="AJ73" s="36" t="inlineStr">
        <is>
          <t>Low</t>
        </is>
      </c>
      <c r="AK73" s="36" t="inlineStr">
        <is>
          <t>Low</t>
        </is>
      </c>
      <c r="AL7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74">
      <c r="A74" s="35" t="inlineStr">
        <is>
          <t>TEST_008</t>
        </is>
      </c>
      <c r="B74" s="35" t="n">
        <v>2</v>
      </c>
      <c r="C74" s="36" t="n"/>
      <c r="D74" s="36" t="n"/>
      <c r="E74" s="36" t="n"/>
      <c r="F74" s="36" t="n">
        <v>1.36</v>
      </c>
      <c r="G74" s="36" t="n">
        <v>2.3</v>
      </c>
      <c r="H74" s="36" t="n"/>
      <c r="I74" s="36" t="n"/>
      <c r="J74" s="36" t="n"/>
      <c r="K74" s="36" t="n">
        <v>1.49</v>
      </c>
      <c r="L74" s="36" t="n">
        <v>3.2</v>
      </c>
      <c r="M74" s="36" t="n"/>
      <c r="N74" s="36" t="n"/>
      <c r="O74" s="36" t="n"/>
      <c r="P74" s="36" t="inlineStr">
        <is>
          <t>G#3</t>
        </is>
      </c>
      <c r="Q74" s="36" t="inlineStr">
        <is>
          <t>C#3</t>
        </is>
      </c>
      <c r="R74" s="38">
        <f>IF(M74="","",LEFT(M74,LEN(M74)-1))</f>
        <v/>
      </c>
      <c r="S74" s="38">
        <f>IF(N74="","",LEFT(N74,LEN(N74)-1))</f>
        <v/>
      </c>
      <c r="T74" s="38">
        <f>IF(O74="","",LEFT(O74,LEN(O74)-1))</f>
        <v/>
      </c>
      <c r="U74" s="38">
        <f>IF(P74="","",LEFT(P74,LEN(P74)-1))</f>
        <v/>
      </c>
      <c r="V74" s="38">
        <f>IF(Q74="","",LEFT(Q74,LEN(Q74)-1))</f>
        <v/>
      </c>
      <c r="W74" s="38">
        <f>IF(M74="","",IFERROR(VALUE(RIGHT(M74,1)),""))</f>
        <v/>
      </c>
      <c r="X74" s="38">
        <f>IF(N74="","",IFERROR(VALUE(RIGHT(N74,1)),""))</f>
        <v/>
      </c>
      <c r="Y74" s="38">
        <f>IF(O74="","",IFERROR(VALUE(RIGHT(O74,1)),""))</f>
        <v/>
      </c>
      <c r="Z74" s="38">
        <f>IF(P74="","",IFERROR(VALUE(RIGHT(P74,1)),""))</f>
        <v/>
      </c>
      <c r="AA74" s="38">
        <f>IF(Q74="","",IFERROR(VALUE(RIGHT(Q74,1)),""))</f>
        <v/>
      </c>
      <c r="AB74" s="38">
        <f>IF(OR(M74="",W74=""),"",IFERROR(ROUND(440*2^((12*(W74+1)+IFERROR(MATCH(R74,{"C","C#","D","D#","E","F","F#","G","G#","A","A#","B"},0)-1,MATCH(R74,{"C","Db","D","Eb","E","F","Gb","G","Ab","A","Bb","B"},0)-1)-69)/12),2),""))</f>
        <v/>
      </c>
      <c r="AC74" s="38">
        <f>IF(OR(N74="",X74=""),"",IFERROR(ROUND(440*2^((12*(X74+1)+IFERROR(MATCH(S74,{"C","C#","D","D#","E","F","F#","G","G#","A","A#","B"},0)-1,MATCH(S74,{"C","Db","D","Eb","E","F","Gb","G","Ab","A","Bb","B"},0)-1)-69)/12),2),""))</f>
        <v/>
      </c>
      <c r="AD74" s="38">
        <f>IF(OR(O74="",Y74=""),"",IFERROR(ROUND(440*2^((12*(Y74+1)+IFERROR(MATCH(T74,{"C","C#","D","D#","E","F","F#","G","G#","A","A#","B"},0)-1,MATCH(T74,{"C","Db","D","Eb","E","F","Gb","G","Ab","A","Bb","B"},0)-1)-69)/12),2),""))</f>
        <v/>
      </c>
      <c r="AE74" s="38">
        <f>IF(OR(P74="",Z74=""),"",IFERROR(ROUND(440*2^((12*(Z74+1)+IFERROR(MATCH(U74,{"C","C#","D","D#","E","F","F#","G","G#","A","A#","B"},0)-1,MATCH(U74,{"C","Db","D","Eb","E","F","Gb","G","Ab","A","Bb","B"},0)-1)-69)/12),2),""))</f>
        <v/>
      </c>
      <c r="AF74" s="38">
        <f>IF(OR(Q74="",AA74=""),"",IFERROR(ROUND(440*2^((12*(AA74+1)+IFERROR(MATCH(V74,{"C","C#","D","D#","E","F","F#","G","G#","A","A#","B"},0)-1,MATCH(V74,{"C","Db","D","Eb","E","F","Gb","G","Ab","A","Bb","B"},0)-1)-69)/12),2),""))</f>
        <v/>
      </c>
      <c r="AG74" s="36" t="n"/>
      <c r="AH74" s="36" t="n"/>
      <c r="AI74" s="36" t="n"/>
      <c r="AJ74" s="36" t="inlineStr">
        <is>
          <t>Low</t>
        </is>
      </c>
      <c r="AK74" s="36" t="inlineStr">
        <is>
          <t>Medium</t>
        </is>
      </c>
      <c r="AL74" s="35" t="n"/>
    </row>
    <row r="75">
      <c r="A75" s="35" t="inlineStr">
        <is>
          <t>TEST_008</t>
        </is>
      </c>
      <c r="B75" s="35" t="n">
        <v>3</v>
      </c>
      <c r="C75" s="36" t="n"/>
      <c r="D75" s="36" t="n"/>
      <c r="E75" s="36" t="n"/>
      <c r="F75" s="36" t="n">
        <v>1.67</v>
      </c>
      <c r="G75" s="36" t="n">
        <v>9.300000000000001</v>
      </c>
      <c r="H75" s="36" t="n"/>
      <c r="I75" s="36" t="n"/>
      <c r="J75" s="36" t="n"/>
      <c r="K75" s="36" t="n">
        <v>1.8</v>
      </c>
      <c r="L75" s="36" t="n">
        <v>9.529999999999999</v>
      </c>
      <c r="M75" s="36" t="n"/>
      <c r="N75" s="36" t="n"/>
      <c r="O75" s="36" t="n"/>
      <c r="P75" s="36" t="inlineStr">
        <is>
          <t>D#3</t>
        </is>
      </c>
      <c r="Q75" s="36" t="inlineStr">
        <is>
          <t>E4</t>
        </is>
      </c>
      <c r="R75" s="38">
        <f>IF(M75="","",LEFT(M75,LEN(M75)-1))</f>
        <v/>
      </c>
      <c r="S75" s="38">
        <f>IF(N75="","",LEFT(N75,LEN(N75)-1))</f>
        <v/>
      </c>
      <c r="T75" s="38">
        <f>IF(O75="","",LEFT(O75,LEN(O75)-1))</f>
        <v/>
      </c>
      <c r="U75" s="38">
        <f>IF(P75="","",LEFT(P75,LEN(P75)-1))</f>
        <v/>
      </c>
      <c r="V75" s="38">
        <f>IF(Q75="","",LEFT(Q75,LEN(Q75)-1))</f>
        <v/>
      </c>
      <c r="W75" s="38">
        <f>IF(M75="","",IFERROR(VALUE(RIGHT(M75,1)),""))</f>
        <v/>
      </c>
      <c r="X75" s="38">
        <f>IF(N75="","",IFERROR(VALUE(RIGHT(N75,1)),""))</f>
        <v/>
      </c>
      <c r="Y75" s="38">
        <f>IF(O75="","",IFERROR(VALUE(RIGHT(O75,1)),""))</f>
        <v/>
      </c>
      <c r="Z75" s="38">
        <f>IF(P75="","",IFERROR(VALUE(RIGHT(P75,1)),""))</f>
        <v/>
      </c>
      <c r="AA75" s="38">
        <f>IF(Q75="","",IFERROR(VALUE(RIGHT(Q75,1)),""))</f>
        <v/>
      </c>
      <c r="AB75" s="38">
        <f>IF(OR(M75="",W75=""),"",IFERROR(ROUND(440*2^((12*(W75+1)+IFERROR(MATCH(R75,{"C","C#","D","D#","E","F","F#","G","G#","A","A#","B"},0)-1,MATCH(R75,{"C","Db","D","Eb","E","F","Gb","G","Ab","A","Bb","B"},0)-1)-69)/12),2),""))</f>
        <v/>
      </c>
      <c r="AC75" s="38">
        <f>IF(OR(N75="",X75=""),"",IFERROR(ROUND(440*2^((12*(X75+1)+IFERROR(MATCH(S75,{"C","C#","D","D#","E","F","F#","G","G#","A","A#","B"},0)-1,MATCH(S75,{"C","Db","D","Eb","E","F","Gb","G","Ab","A","Bb","B"},0)-1)-69)/12),2),""))</f>
        <v/>
      </c>
      <c r="AD75" s="38">
        <f>IF(OR(O75="",Y75=""),"",IFERROR(ROUND(440*2^((12*(Y75+1)+IFERROR(MATCH(T75,{"C","C#","D","D#","E","F","F#","G","G#","A","A#","B"},0)-1,MATCH(T75,{"C","Db","D","Eb","E","F","Gb","G","Ab","A","Bb","B"},0)-1)-69)/12),2),""))</f>
        <v/>
      </c>
      <c r="AE75" s="38">
        <f>IF(OR(P75="",Z75=""),"",IFERROR(ROUND(440*2^((12*(Z75+1)+IFERROR(MATCH(U75,{"C","C#","D","D#","E","F","F#","G","G#","A","A#","B"},0)-1,MATCH(U75,{"C","Db","D","Eb","E","F","Gb","G","Ab","A","Bb","B"},0)-1)-69)/12),2),""))</f>
        <v/>
      </c>
      <c r="AF75" s="38">
        <f>IF(OR(Q75="",AA75=""),"",IFERROR(ROUND(440*2^((12*(AA75+1)+IFERROR(MATCH(V75,{"C","C#","D","D#","E","F","F#","G","G#","A","A#","B"},0)-1,MATCH(V75,{"C","Db","D","Eb","E","F","Gb","G","Ab","A","Bb","B"},0)-1)-69)/12),2),""))</f>
        <v/>
      </c>
      <c r="AG75" s="36" t="n"/>
      <c r="AH75" s="36" t="n"/>
      <c r="AI75" s="36" t="n"/>
      <c r="AJ75" s="36" t="inlineStr">
        <is>
          <t>Low</t>
        </is>
      </c>
      <c r="AK75" s="36" t="inlineStr">
        <is>
          <t>High</t>
        </is>
      </c>
      <c r="AL75" s="35" t="n"/>
    </row>
    <row r="76">
      <c r="A76" s="35" t="inlineStr">
        <is>
          <t>TEST_008</t>
        </is>
      </c>
      <c r="B76" s="35" t="n">
        <v>4</v>
      </c>
      <c r="C76" s="36" t="n"/>
      <c r="D76" s="36" t="n"/>
      <c r="E76" s="36" t="n"/>
      <c r="F76" s="36" t="n">
        <v>1.8</v>
      </c>
      <c r="G76" s="36" t="n">
        <v>9.949999999999999</v>
      </c>
      <c r="H76" s="36" t="n"/>
      <c r="I76" s="36" t="n"/>
      <c r="J76" s="36" t="n"/>
      <c r="K76" s="36" t="n">
        <v>1.99</v>
      </c>
      <c r="L76" s="36" t="n">
        <v>10.51</v>
      </c>
      <c r="M76" s="36" t="n"/>
      <c r="N76" s="36" t="n"/>
      <c r="O76" s="36" t="n"/>
      <c r="P76" s="36" t="inlineStr">
        <is>
          <t>C#3</t>
        </is>
      </c>
      <c r="Q76" s="36" t="inlineStr">
        <is>
          <t>G#4</t>
        </is>
      </c>
      <c r="R76" s="38">
        <f>IF(M76="","",LEFT(M76,LEN(M76)-1))</f>
        <v/>
      </c>
      <c r="S76" s="38">
        <f>IF(N76="","",LEFT(N76,LEN(N76)-1))</f>
        <v/>
      </c>
      <c r="T76" s="38">
        <f>IF(O76="","",LEFT(O76,LEN(O76)-1))</f>
        <v/>
      </c>
      <c r="U76" s="38">
        <f>IF(P76="","",LEFT(P76,LEN(P76)-1))</f>
        <v/>
      </c>
      <c r="V76" s="38">
        <f>IF(Q76="","",LEFT(Q76,LEN(Q76)-1))</f>
        <v/>
      </c>
      <c r="W76" s="38">
        <f>IF(M76="","",IFERROR(VALUE(RIGHT(M76,1)),""))</f>
        <v/>
      </c>
      <c r="X76" s="38">
        <f>IF(N76="","",IFERROR(VALUE(RIGHT(N76,1)),""))</f>
        <v/>
      </c>
      <c r="Y76" s="38">
        <f>IF(O76="","",IFERROR(VALUE(RIGHT(O76,1)),""))</f>
        <v/>
      </c>
      <c r="Z76" s="38">
        <f>IF(P76="","",IFERROR(VALUE(RIGHT(P76,1)),""))</f>
        <v/>
      </c>
      <c r="AA76" s="38">
        <f>IF(Q76="","",IFERROR(VALUE(RIGHT(Q76,1)),""))</f>
        <v/>
      </c>
      <c r="AB76" s="38">
        <f>IF(OR(M76="",W76=""),"",IFERROR(ROUND(440*2^((12*(W76+1)+IFERROR(MATCH(R76,{"C","C#","D","D#","E","F","F#","G","G#","A","A#","B"},0)-1,MATCH(R76,{"C","Db","D","Eb","E","F","Gb","G","Ab","A","Bb","B"},0)-1)-69)/12),2),""))</f>
        <v/>
      </c>
      <c r="AC76" s="38">
        <f>IF(OR(N76="",X76=""),"",IFERROR(ROUND(440*2^((12*(X76+1)+IFERROR(MATCH(S76,{"C","C#","D","D#","E","F","F#","G","G#","A","A#","B"},0)-1,MATCH(S76,{"C","Db","D","Eb","E","F","Gb","G","Ab","A","Bb","B"},0)-1)-69)/12),2),""))</f>
        <v/>
      </c>
      <c r="AD76" s="38">
        <f>IF(OR(O76="",Y76=""),"",IFERROR(ROUND(440*2^((12*(Y76+1)+IFERROR(MATCH(T76,{"C","C#","D","D#","E","F","F#","G","G#","A","A#","B"},0)-1,MATCH(T76,{"C","Db","D","Eb","E","F","Gb","G","Ab","A","Bb","B"},0)-1)-69)/12),2),""))</f>
        <v/>
      </c>
      <c r="AE76" s="38">
        <f>IF(OR(P76="",Z76=""),"",IFERROR(ROUND(440*2^((12*(Z76+1)+IFERROR(MATCH(U76,{"C","C#","D","D#","E","F","F#","G","G#","A","A#","B"},0)-1,MATCH(U76,{"C","Db","D","Eb","E","F","Gb","G","Ab","A","Bb","B"},0)-1)-69)/12),2),""))</f>
        <v/>
      </c>
      <c r="AF76" s="38">
        <f>IF(OR(Q76="",AA76=""),"",IFERROR(ROUND(440*2^((12*(AA76+1)+IFERROR(MATCH(V76,{"C","C#","D","D#","E","F","F#","G","G#","A","A#","B"},0)-1,MATCH(V76,{"C","Db","D","Eb","E","F","Gb","G","Ab","A","Bb","B"},0)-1)-69)/12),2),""))</f>
        <v/>
      </c>
      <c r="AG76" s="36" t="n"/>
      <c r="AH76" s="36" t="n"/>
      <c r="AI76" s="36" t="n"/>
      <c r="AJ76" s="36" t="inlineStr">
        <is>
          <t>Low</t>
        </is>
      </c>
      <c r="AK76" s="36" t="inlineStr">
        <is>
          <t>High</t>
        </is>
      </c>
      <c r="AL76" s="35" t="n"/>
    </row>
    <row r="77">
      <c r="A77" s="35" t="inlineStr">
        <is>
          <t>TEST_008</t>
        </is>
      </c>
      <c r="B77" s="35" t="n">
        <v>5</v>
      </c>
      <c r="C77" s="36" t="n"/>
      <c r="D77" s="36" t="n"/>
      <c r="E77" s="36" t="n"/>
      <c r="F77" s="36" t="n">
        <v>2.39</v>
      </c>
      <c r="G77" s="36" t="n">
        <v>10.65</v>
      </c>
      <c r="H77" s="36" t="n"/>
      <c r="I77" s="36" t="n"/>
      <c r="J77" s="36" t="n"/>
      <c r="K77" s="36" t="n">
        <v>3.18</v>
      </c>
      <c r="L77" s="36" t="n">
        <v>11.12</v>
      </c>
      <c r="M77" s="36" t="n"/>
      <c r="N77" s="36" t="n"/>
      <c r="O77" s="36" t="n"/>
      <c r="P77" s="36" t="inlineStr">
        <is>
          <t>C#3</t>
        </is>
      </c>
      <c r="Q77" s="36" t="inlineStr">
        <is>
          <t>E2</t>
        </is>
      </c>
      <c r="R77" s="38">
        <f>IF(M77="","",LEFT(M77,LEN(M77)-1))</f>
        <v/>
      </c>
      <c r="S77" s="38">
        <f>IF(N77="","",LEFT(N77,LEN(N77)-1))</f>
        <v/>
      </c>
      <c r="T77" s="38">
        <f>IF(O77="","",LEFT(O77,LEN(O77)-1))</f>
        <v/>
      </c>
      <c r="U77" s="38">
        <f>IF(P77="","",LEFT(P77,LEN(P77)-1))</f>
        <v/>
      </c>
      <c r="V77" s="38">
        <f>IF(Q77="","",LEFT(Q77,LEN(Q77)-1))</f>
        <v/>
      </c>
      <c r="W77" s="38">
        <f>IF(M77="","",IFERROR(VALUE(RIGHT(M77,1)),""))</f>
        <v/>
      </c>
      <c r="X77" s="38">
        <f>IF(N77="","",IFERROR(VALUE(RIGHT(N77,1)),""))</f>
        <v/>
      </c>
      <c r="Y77" s="38">
        <f>IF(O77="","",IFERROR(VALUE(RIGHT(O77,1)),""))</f>
        <v/>
      </c>
      <c r="Z77" s="38">
        <f>IF(P77="","",IFERROR(VALUE(RIGHT(P77,1)),""))</f>
        <v/>
      </c>
      <c r="AA77" s="38">
        <f>IF(Q77="","",IFERROR(VALUE(RIGHT(Q77,1)),""))</f>
        <v/>
      </c>
      <c r="AB77" s="38">
        <f>IF(OR(M77="",W77=""),"",IFERROR(ROUND(440*2^((12*(W77+1)+IFERROR(MATCH(R77,{"C","C#","D","D#","E","F","F#","G","G#","A","A#","B"},0)-1,MATCH(R77,{"C","Db","D","Eb","E","F","Gb","G","Ab","A","Bb","B"},0)-1)-69)/12),2),""))</f>
        <v/>
      </c>
      <c r="AC77" s="38">
        <f>IF(OR(N77="",X77=""),"",IFERROR(ROUND(440*2^((12*(X77+1)+IFERROR(MATCH(S77,{"C","C#","D","D#","E","F","F#","G","G#","A","A#","B"},0)-1,MATCH(S77,{"C","Db","D","Eb","E","F","Gb","G","Ab","A","Bb","B"},0)-1)-69)/12),2),""))</f>
        <v/>
      </c>
      <c r="AD77" s="38">
        <f>IF(OR(O77="",Y77=""),"",IFERROR(ROUND(440*2^((12*(Y77+1)+IFERROR(MATCH(T77,{"C","C#","D","D#","E","F","F#","G","G#","A","A#","B"},0)-1,MATCH(T77,{"C","Db","D","Eb","E","F","Gb","G","Ab","A","Bb","B"},0)-1)-69)/12),2),""))</f>
        <v/>
      </c>
      <c r="AE77" s="38">
        <f>IF(OR(P77="",Z77=""),"",IFERROR(ROUND(440*2^((12*(Z77+1)+IFERROR(MATCH(U77,{"C","C#","D","D#","E","F","F#","G","G#","A","A#","B"},0)-1,MATCH(U77,{"C","Db","D","Eb","E","F","Gb","G","Ab","A","Bb","B"},0)-1)-69)/12),2),""))</f>
        <v/>
      </c>
      <c r="AF77" s="38">
        <f>IF(OR(Q77="",AA77=""),"",IFERROR(ROUND(440*2^((12*(AA77+1)+IFERROR(MATCH(V77,{"C","C#","D","D#","E","F","F#","G","G#","A","A#","B"},0)-1,MATCH(V77,{"C","Db","D","Eb","E","F","Gb","G","Ab","A","Bb","B"},0)-1)-69)/12),2),""))</f>
        <v/>
      </c>
      <c r="AG77" s="36" t="n"/>
      <c r="AH77" s="36" t="n"/>
      <c r="AI77" s="36" t="n"/>
      <c r="AJ77" s="36" t="inlineStr">
        <is>
          <t>Low</t>
        </is>
      </c>
      <c r="AK77" s="36" t="inlineStr">
        <is>
          <t>Medium</t>
        </is>
      </c>
      <c r="AL77" s="35" t="n"/>
    </row>
    <row r="78">
      <c r="A78" s="35" t="inlineStr">
        <is>
          <t>TEST_008</t>
        </is>
      </c>
      <c r="B78" s="35" t="n">
        <v>6</v>
      </c>
      <c r="C78" s="36" t="n"/>
      <c r="D78" s="36" t="n"/>
      <c r="E78" s="36" t="n"/>
      <c r="F78" s="36" t="n">
        <v>5.17</v>
      </c>
      <c r="G78" s="36" t="n">
        <v>11.23</v>
      </c>
      <c r="H78" s="36" t="n"/>
      <c r="I78" s="36" t="n"/>
      <c r="J78" s="36" t="n"/>
      <c r="K78" s="36" t="n">
        <v>5.32</v>
      </c>
      <c r="L78" s="36" t="n">
        <v>11.73</v>
      </c>
      <c r="M78" s="36" t="n"/>
      <c r="N78" s="36" t="n"/>
      <c r="O78" s="36" t="n"/>
      <c r="P78" s="36" t="inlineStr">
        <is>
          <t>E3</t>
        </is>
      </c>
      <c r="Q78" s="36" t="inlineStr">
        <is>
          <t>G#2</t>
        </is>
      </c>
      <c r="R78" s="38">
        <f>IF(M78="","",LEFT(M78,LEN(M78)-1))</f>
        <v/>
      </c>
      <c r="S78" s="38">
        <f>IF(N78="","",LEFT(N78,LEN(N78)-1))</f>
        <v/>
      </c>
      <c r="T78" s="38">
        <f>IF(O78="","",LEFT(O78,LEN(O78)-1))</f>
        <v/>
      </c>
      <c r="U78" s="38">
        <f>IF(P78="","",LEFT(P78,LEN(P78)-1))</f>
        <v/>
      </c>
      <c r="V78" s="38">
        <f>IF(Q78="","",LEFT(Q78,LEN(Q78)-1))</f>
        <v/>
      </c>
      <c r="W78" s="38">
        <f>IF(M78="","",IFERROR(VALUE(RIGHT(M78,1)),""))</f>
        <v/>
      </c>
      <c r="X78" s="38">
        <f>IF(N78="","",IFERROR(VALUE(RIGHT(N78,1)),""))</f>
        <v/>
      </c>
      <c r="Y78" s="38">
        <f>IF(O78="","",IFERROR(VALUE(RIGHT(O78,1)),""))</f>
        <v/>
      </c>
      <c r="Z78" s="38">
        <f>IF(P78="","",IFERROR(VALUE(RIGHT(P78,1)),""))</f>
        <v/>
      </c>
      <c r="AA78" s="38">
        <f>IF(Q78="","",IFERROR(VALUE(RIGHT(Q78,1)),""))</f>
        <v/>
      </c>
      <c r="AB78" s="38">
        <f>IF(OR(M78="",W78=""),"",IFERROR(ROUND(440*2^((12*(W78+1)+IFERROR(MATCH(R78,{"C","C#","D","D#","E","F","F#","G","G#","A","A#","B"},0)-1,MATCH(R78,{"C","Db","D","Eb","E","F","Gb","G","Ab","A","Bb","B"},0)-1)-69)/12),2),""))</f>
        <v/>
      </c>
      <c r="AC78" s="38">
        <f>IF(OR(N78="",X78=""),"",IFERROR(ROUND(440*2^((12*(X78+1)+IFERROR(MATCH(S78,{"C","C#","D","D#","E","F","F#","G","G#","A","A#","B"},0)-1,MATCH(S78,{"C","Db","D","Eb","E","F","Gb","G","Ab","A","Bb","B"},0)-1)-69)/12),2),""))</f>
        <v/>
      </c>
      <c r="AD78" s="38">
        <f>IF(OR(O78="",Y78=""),"",IFERROR(ROUND(440*2^((12*(Y78+1)+IFERROR(MATCH(T78,{"C","C#","D","D#","E","F","F#","G","G#","A","A#","B"},0)-1,MATCH(T78,{"C","Db","D","Eb","E","F","Gb","G","Ab","A","Bb","B"},0)-1)-69)/12),2),""))</f>
        <v/>
      </c>
      <c r="AE78" s="38">
        <f>IF(OR(P78="",Z78=""),"",IFERROR(ROUND(440*2^((12*(Z78+1)+IFERROR(MATCH(U78,{"C","C#","D","D#","E","F","F#","G","G#","A","A#","B"},0)-1,MATCH(U78,{"C","Db","D","Eb","E","F","Gb","G","Ab","A","Bb","B"},0)-1)-69)/12),2),""))</f>
        <v/>
      </c>
      <c r="AF78" s="38">
        <f>IF(OR(Q78="",AA78=""),"",IFERROR(ROUND(440*2^((12*(AA78+1)+IFERROR(MATCH(V78,{"C","C#","D","D#","E","F","F#","G","G#","A","A#","B"},0)-1,MATCH(V78,{"C","Db","D","Eb","E","F","Gb","G","Ab","A","Bb","B"},0)-1)-69)/12),2),""))</f>
        <v/>
      </c>
      <c r="AG78" s="36" t="n"/>
      <c r="AH78" s="36" t="n"/>
      <c r="AI78" s="36" t="n"/>
      <c r="AJ78" s="36" t="inlineStr">
        <is>
          <t>Low</t>
        </is>
      </c>
      <c r="AK78" s="36" t="inlineStr">
        <is>
          <t>Low</t>
        </is>
      </c>
      <c r="AL78" s="35" t="n"/>
    </row>
    <row r="79">
      <c r="A79" s="35" t="inlineStr">
        <is>
          <t>TEST_008</t>
        </is>
      </c>
      <c r="B79" s="35" t="n">
        <v>7</v>
      </c>
      <c r="C79" s="36" t="n"/>
      <c r="D79" s="36" t="n"/>
      <c r="E79" s="36" t="n"/>
      <c r="F79" s="36" t="n">
        <v>9.890000000000001</v>
      </c>
      <c r="G79" s="36" t="n">
        <v>11.81</v>
      </c>
      <c r="H79" s="36" t="n"/>
      <c r="I79" s="36" t="n"/>
      <c r="J79" s="36" t="n"/>
      <c r="K79" s="36" t="n">
        <v>10.56</v>
      </c>
      <c r="L79" s="36" t="n">
        <v>12</v>
      </c>
      <c r="M79" s="36" t="n"/>
      <c r="N79" s="36" t="n"/>
      <c r="O79" s="36" t="n"/>
      <c r="P79" s="36" t="inlineStr">
        <is>
          <t>G#4</t>
        </is>
      </c>
      <c r="Q79" s="36" t="inlineStr">
        <is>
          <t>C#3</t>
        </is>
      </c>
      <c r="R79" s="38">
        <f>IF(M79="","",LEFT(M79,LEN(M79)-1))</f>
        <v/>
      </c>
      <c r="S79" s="38">
        <f>IF(N79="","",LEFT(N79,LEN(N79)-1))</f>
        <v/>
      </c>
      <c r="T79" s="38">
        <f>IF(O79="","",LEFT(O79,LEN(O79)-1))</f>
        <v/>
      </c>
      <c r="U79" s="38">
        <f>IF(P79="","",LEFT(P79,LEN(P79)-1))</f>
        <v/>
      </c>
      <c r="V79" s="38">
        <f>IF(Q79="","",LEFT(Q79,LEN(Q79)-1))</f>
        <v/>
      </c>
      <c r="W79" s="38">
        <f>IF(M79="","",IFERROR(VALUE(RIGHT(M79,1)),""))</f>
        <v/>
      </c>
      <c r="X79" s="38">
        <f>IF(N79="","",IFERROR(VALUE(RIGHT(N79,1)),""))</f>
        <v/>
      </c>
      <c r="Y79" s="38">
        <f>IF(O79="","",IFERROR(VALUE(RIGHT(O79,1)),""))</f>
        <v/>
      </c>
      <c r="Z79" s="38">
        <f>IF(P79="","",IFERROR(VALUE(RIGHT(P79,1)),""))</f>
        <v/>
      </c>
      <c r="AA79" s="38">
        <f>IF(Q79="","",IFERROR(VALUE(RIGHT(Q79,1)),""))</f>
        <v/>
      </c>
      <c r="AB79" s="38">
        <f>IF(OR(M79="",W79=""),"",IFERROR(ROUND(440*2^((12*(W79+1)+IFERROR(MATCH(R79,{"C","C#","D","D#","E","F","F#","G","G#","A","A#","B"},0)-1,MATCH(R79,{"C","Db","D","Eb","E","F","Gb","G","Ab","A","Bb","B"},0)-1)-69)/12),2),""))</f>
        <v/>
      </c>
      <c r="AC79" s="38">
        <f>IF(OR(N79="",X79=""),"",IFERROR(ROUND(440*2^((12*(X79+1)+IFERROR(MATCH(S79,{"C","C#","D","D#","E","F","F#","G","G#","A","A#","B"},0)-1,MATCH(S79,{"C","Db","D","Eb","E","F","Gb","G","Ab","A","Bb","B"},0)-1)-69)/12),2),""))</f>
        <v/>
      </c>
      <c r="AD79" s="38">
        <f>IF(OR(O79="",Y79=""),"",IFERROR(ROUND(440*2^((12*(Y79+1)+IFERROR(MATCH(T79,{"C","C#","D","D#","E","F","F#","G","G#","A","A#","B"},0)-1,MATCH(T79,{"C","Db","D","Eb","E","F","Gb","G","Ab","A","Bb","B"},0)-1)-69)/12),2),""))</f>
        <v/>
      </c>
      <c r="AE79" s="38">
        <f>IF(OR(P79="",Z79=""),"",IFERROR(ROUND(440*2^((12*(Z79+1)+IFERROR(MATCH(U79,{"C","C#","D","D#","E","F","F#","G","G#","A","A#","B"},0)-1,MATCH(U79,{"C","Db","D","Eb","E","F","Gb","G","Ab","A","Bb","B"},0)-1)-69)/12),2),""))</f>
        <v/>
      </c>
      <c r="AF79" s="38">
        <f>IF(OR(Q79="",AA79=""),"",IFERROR(ROUND(440*2^((12*(AA79+1)+IFERROR(MATCH(V79,{"C","C#","D","D#","E","F","F#","G","G#","A","A#","B"},0)-1,MATCH(V79,{"C","Db","D","Eb","E","F","Gb","G","Ab","A","Bb","B"},0)-1)-69)/12),2),""))</f>
        <v/>
      </c>
      <c r="AG79" s="36" t="n"/>
      <c r="AH79" s="36" t="n"/>
      <c r="AI79" s="36" t="n"/>
      <c r="AJ79" s="36" t="inlineStr">
        <is>
          <t>Low</t>
        </is>
      </c>
      <c r="AK79" s="36" t="inlineStr">
        <is>
          <t>Low</t>
        </is>
      </c>
      <c r="AL79" s="35" t="n"/>
    </row>
    <row r="80">
      <c r="A80" s="35" t="inlineStr">
        <is>
          <t>TEST_008</t>
        </is>
      </c>
      <c r="B80" s="35" t="n">
        <v>8</v>
      </c>
      <c r="C80" s="36" t="n"/>
      <c r="D80" s="36" t="n"/>
      <c r="E80" s="36" t="n"/>
      <c r="F80" s="36" t="n">
        <v>10.84</v>
      </c>
      <c r="G80" s="36" t="n">
        <v>12.09</v>
      </c>
      <c r="H80" s="36" t="n"/>
      <c r="I80" s="36" t="n"/>
      <c r="J80" s="36" t="n"/>
      <c r="K80" s="36" t="n">
        <v>11.1</v>
      </c>
      <c r="L80" s="36" t="n">
        <v>12.32</v>
      </c>
      <c r="M80" s="36" t="n"/>
      <c r="N80" s="36" t="n"/>
      <c r="O80" s="36" t="n"/>
      <c r="P80" s="36" t="inlineStr">
        <is>
          <t>E3</t>
        </is>
      </c>
      <c r="Q80" s="36" t="inlineStr">
        <is>
          <t>F#4</t>
        </is>
      </c>
      <c r="R80" s="38">
        <f>IF(M80="","",LEFT(M80,LEN(M80)-1))</f>
        <v/>
      </c>
      <c r="S80" s="38">
        <f>IF(N80="","",LEFT(N80,LEN(N80)-1))</f>
        <v/>
      </c>
      <c r="T80" s="38">
        <f>IF(O80="","",LEFT(O80,LEN(O80)-1))</f>
        <v/>
      </c>
      <c r="U80" s="38">
        <f>IF(P80="","",LEFT(P80,LEN(P80)-1))</f>
        <v/>
      </c>
      <c r="V80" s="38">
        <f>IF(Q80="","",LEFT(Q80,LEN(Q80)-1))</f>
        <v/>
      </c>
      <c r="W80" s="38">
        <f>IF(M80="","",IFERROR(VALUE(RIGHT(M80,1)),""))</f>
        <v/>
      </c>
      <c r="X80" s="38">
        <f>IF(N80="","",IFERROR(VALUE(RIGHT(N80,1)),""))</f>
        <v/>
      </c>
      <c r="Y80" s="38">
        <f>IF(O80="","",IFERROR(VALUE(RIGHT(O80,1)),""))</f>
        <v/>
      </c>
      <c r="Z80" s="38">
        <f>IF(P80="","",IFERROR(VALUE(RIGHT(P80,1)),""))</f>
        <v/>
      </c>
      <c r="AA80" s="38">
        <f>IF(Q80="","",IFERROR(VALUE(RIGHT(Q80,1)),""))</f>
        <v/>
      </c>
      <c r="AB80" s="38">
        <f>IF(OR(M80="",W80=""),"",IFERROR(ROUND(440*2^((12*(W80+1)+IFERROR(MATCH(R80,{"C","C#","D","D#","E","F","F#","G","G#","A","A#","B"},0)-1,MATCH(R80,{"C","Db","D","Eb","E","F","Gb","G","Ab","A","Bb","B"},0)-1)-69)/12),2),""))</f>
        <v/>
      </c>
      <c r="AC80" s="38">
        <f>IF(OR(N80="",X80=""),"",IFERROR(ROUND(440*2^((12*(X80+1)+IFERROR(MATCH(S80,{"C","C#","D","D#","E","F","F#","G","G#","A","A#","B"},0)-1,MATCH(S80,{"C","Db","D","Eb","E","F","Gb","G","Ab","A","Bb","B"},0)-1)-69)/12),2),""))</f>
        <v/>
      </c>
      <c r="AD80" s="38">
        <f>IF(OR(O80="",Y80=""),"",IFERROR(ROUND(440*2^((12*(Y80+1)+IFERROR(MATCH(T80,{"C","C#","D","D#","E","F","F#","G","G#","A","A#","B"},0)-1,MATCH(T80,{"C","Db","D","Eb","E","F","Gb","G","Ab","A","Bb","B"},0)-1)-69)/12),2),""))</f>
        <v/>
      </c>
      <c r="AE80" s="38">
        <f>IF(OR(P80="",Z80=""),"",IFERROR(ROUND(440*2^((12*(Z80+1)+IFERROR(MATCH(U80,{"C","C#","D","D#","E","F","F#","G","G#","A","A#","B"},0)-1,MATCH(U80,{"C","Db","D","Eb","E","F","Gb","G","Ab","A","Bb","B"},0)-1)-69)/12),2),""))</f>
        <v/>
      </c>
      <c r="AF80" s="38">
        <f>IF(OR(Q80="",AA80=""),"",IFERROR(ROUND(440*2^((12*(AA80+1)+IFERROR(MATCH(V80,{"C","C#","D","D#","E","F","F#","G","G#","A","A#","B"},0)-1,MATCH(V80,{"C","Db","D","Eb","E","F","Gb","G","Ab","A","Bb","B"},0)-1)-69)/12),2),""))</f>
        <v/>
      </c>
      <c r="AG80" s="36" t="n"/>
      <c r="AH80" s="36" t="n"/>
      <c r="AI80" s="36" t="n"/>
      <c r="AJ80" s="36" t="inlineStr">
        <is>
          <t>Low</t>
        </is>
      </c>
      <c r="AK80" s="36" t="inlineStr">
        <is>
          <t>High</t>
        </is>
      </c>
      <c r="AL80" s="35" t="n"/>
    </row>
    <row r="81">
      <c r="A81" s="35" t="inlineStr">
        <is>
          <t>TEST_008</t>
        </is>
      </c>
      <c r="B81" s="35" t="n">
        <v>9</v>
      </c>
      <c r="C81" s="36" t="n"/>
      <c r="D81" s="36" t="n"/>
      <c r="E81" s="36" t="n"/>
      <c r="F81" s="36" t="n">
        <v>11.48</v>
      </c>
      <c r="G81" s="36" t="n">
        <v>13.32</v>
      </c>
      <c r="H81" s="36" t="n"/>
      <c r="I81" s="36" t="n"/>
      <c r="J81" s="36" t="n"/>
      <c r="K81" s="36" t="n">
        <v>11.72</v>
      </c>
      <c r="L81" s="36" t="n">
        <v>13.55</v>
      </c>
      <c r="M81" s="36" t="n"/>
      <c r="N81" s="36" t="n"/>
      <c r="O81" s="36" t="n"/>
      <c r="P81" s="36" t="inlineStr">
        <is>
          <t>G#3</t>
        </is>
      </c>
      <c r="Q81" s="36" t="inlineStr">
        <is>
          <t>A2</t>
        </is>
      </c>
      <c r="R81" s="38">
        <f>IF(M81="","",LEFT(M81,LEN(M81)-1))</f>
        <v/>
      </c>
      <c r="S81" s="38">
        <f>IF(N81="","",LEFT(N81,LEN(N81)-1))</f>
        <v/>
      </c>
      <c r="T81" s="38">
        <f>IF(O81="","",LEFT(O81,LEN(O81)-1))</f>
        <v/>
      </c>
      <c r="U81" s="38">
        <f>IF(P81="","",LEFT(P81,LEN(P81)-1))</f>
        <v/>
      </c>
      <c r="V81" s="38">
        <f>IF(Q81="","",LEFT(Q81,LEN(Q81)-1))</f>
        <v/>
      </c>
      <c r="W81" s="38">
        <f>IF(M81="","",IFERROR(VALUE(RIGHT(M81,1)),""))</f>
        <v/>
      </c>
      <c r="X81" s="38">
        <f>IF(N81="","",IFERROR(VALUE(RIGHT(N81,1)),""))</f>
        <v/>
      </c>
      <c r="Y81" s="38">
        <f>IF(O81="","",IFERROR(VALUE(RIGHT(O81,1)),""))</f>
        <v/>
      </c>
      <c r="Z81" s="38">
        <f>IF(P81="","",IFERROR(VALUE(RIGHT(P81,1)),""))</f>
        <v/>
      </c>
      <c r="AA81" s="38">
        <f>IF(Q81="","",IFERROR(VALUE(RIGHT(Q81,1)),""))</f>
        <v/>
      </c>
      <c r="AB81" s="38">
        <f>IF(OR(M81="",W81=""),"",IFERROR(ROUND(440*2^((12*(W81+1)+IFERROR(MATCH(R81,{"C","C#","D","D#","E","F","F#","G","G#","A","A#","B"},0)-1,MATCH(R81,{"C","Db","D","Eb","E","F","Gb","G","Ab","A","Bb","B"},0)-1)-69)/12),2),""))</f>
        <v/>
      </c>
      <c r="AC81" s="38">
        <f>IF(OR(N81="",X81=""),"",IFERROR(ROUND(440*2^((12*(X81+1)+IFERROR(MATCH(S81,{"C","C#","D","D#","E","F","F#","G","G#","A","A#","B"},0)-1,MATCH(S81,{"C","Db","D","Eb","E","F","Gb","G","Ab","A","Bb","B"},0)-1)-69)/12),2),""))</f>
        <v/>
      </c>
      <c r="AD81" s="38">
        <f>IF(OR(O81="",Y81=""),"",IFERROR(ROUND(440*2^((12*(Y81+1)+IFERROR(MATCH(T81,{"C","C#","D","D#","E","F","F#","G","G#","A","A#","B"},0)-1,MATCH(T81,{"C","Db","D","Eb","E","F","Gb","G","Ab","A","Bb","B"},0)-1)-69)/12),2),""))</f>
        <v/>
      </c>
      <c r="AE81" s="38">
        <f>IF(OR(P81="",Z81=""),"",IFERROR(ROUND(440*2^((12*(Z81+1)+IFERROR(MATCH(U81,{"C","C#","D","D#","E","F","F#","G","G#","A","A#","B"},0)-1,MATCH(U81,{"C","Db","D","Eb","E","F","Gb","G","Ab","A","Bb","B"},0)-1)-69)/12),2),""))</f>
        <v/>
      </c>
      <c r="AF81" s="38">
        <f>IF(OR(Q81="",AA81=""),"",IFERROR(ROUND(440*2^((12*(AA81+1)+IFERROR(MATCH(V81,{"C","C#","D","D#","E","F","F#","G","G#","A","A#","B"},0)-1,MATCH(V81,{"C","Db","D","Eb","E","F","Gb","G","Ab","A","Bb","B"},0)-1)-69)/12),2),""))</f>
        <v/>
      </c>
      <c r="AG81" s="36" t="n"/>
      <c r="AH81" s="36" t="n"/>
      <c r="AI81" s="36" t="n"/>
      <c r="AJ81" s="36" t="inlineStr">
        <is>
          <t>Low</t>
        </is>
      </c>
      <c r="AK81" s="36" t="inlineStr">
        <is>
          <t>Medium</t>
        </is>
      </c>
      <c r="AL81" s="35" t="n"/>
    </row>
    <row r="82">
      <c r="A82" s="35" t="inlineStr">
        <is>
          <t>TEST_008</t>
        </is>
      </c>
      <c r="B82" s="35" t="n">
        <v>10</v>
      </c>
      <c r="C82" s="36" t="n"/>
      <c r="D82" s="36" t="n"/>
      <c r="E82" s="36" t="n"/>
      <c r="F82" s="36" t="n">
        <v>12.05</v>
      </c>
      <c r="G82" s="36" t="n">
        <v>13.62</v>
      </c>
      <c r="H82" s="36" t="n"/>
      <c r="I82" s="36" t="n"/>
      <c r="J82" s="36" t="n"/>
      <c r="K82" s="36" t="n">
        <v>12.47</v>
      </c>
      <c r="L82" s="36" t="n">
        <v>13.83</v>
      </c>
      <c r="M82" s="36" t="n"/>
      <c r="N82" s="36" t="n"/>
      <c r="O82" s="36" t="n"/>
      <c r="P82" s="36" t="inlineStr">
        <is>
          <t>F#4</t>
        </is>
      </c>
      <c r="Q82" s="36" t="inlineStr">
        <is>
          <t>A2</t>
        </is>
      </c>
      <c r="R82" s="38">
        <f>IF(M82="","",LEFT(M82,LEN(M82)-1))</f>
        <v/>
      </c>
      <c r="S82" s="38">
        <f>IF(N82="","",LEFT(N82,LEN(N82)-1))</f>
        <v/>
      </c>
      <c r="T82" s="38">
        <f>IF(O82="","",LEFT(O82,LEN(O82)-1))</f>
        <v/>
      </c>
      <c r="U82" s="38">
        <f>IF(P82="","",LEFT(P82,LEN(P82)-1))</f>
        <v/>
      </c>
      <c r="V82" s="38">
        <f>IF(Q82="","",LEFT(Q82,LEN(Q82)-1))</f>
        <v/>
      </c>
      <c r="W82" s="38">
        <f>IF(M82="","",IFERROR(VALUE(RIGHT(M82,1)),""))</f>
        <v/>
      </c>
      <c r="X82" s="38">
        <f>IF(N82="","",IFERROR(VALUE(RIGHT(N82,1)),""))</f>
        <v/>
      </c>
      <c r="Y82" s="38">
        <f>IF(O82="","",IFERROR(VALUE(RIGHT(O82,1)),""))</f>
        <v/>
      </c>
      <c r="Z82" s="38">
        <f>IF(P82="","",IFERROR(VALUE(RIGHT(P82,1)),""))</f>
        <v/>
      </c>
      <c r="AA82" s="38">
        <f>IF(Q82="","",IFERROR(VALUE(RIGHT(Q82,1)),""))</f>
        <v/>
      </c>
      <c r="AB82" s="38">
        <f>IF(OR(M82="",W82=""),"",IFERROR(ROUND(440*2^((12*(W82+1)+IFERROR(MATCH(R82,{"C","C#","D","D#","E","F","F#","G","G#","A","A#","B"},0)-1,MATCH(R82,{"C","Db","D","Eb","E","F","Gb","G","Ab","A","Bb","B"},0)-1)-69)/12),2),""))</f>
        <v/>
      </c>
      <c r="AC82" s="38">
        <f>IF(OR(N82="",X82=""),"",IFERROR(ROUND(440*2^((12*(X82+1)+IFERROR(MATCH(S82,{"C","C#","D","D#","E","F","F#","G","G#","A","A#","B"},0)-1,MATCH(S82,{"C","Db","D","Eb","E","F","Gb","G","Ab","A","Bb","B"},0)-1)-69)/12),2),""))</f>
        <v/>
      </c>
      <c r="AD82" s="38">
        <f>IF(OR(O82="",Y82=""),"",IFERROR(ROUND(440*2^((12*(Y82+1)+IFERROR(MATCH(T82,{"C","C#","D","D#","E","F","F#","G","G#","A","A#","B"},0)-1,MATCH(T82,{"C","Db","D","Eb","E","F","Gb","G","Ab","A","Bb","B"},0)-1)-69)/12),2),""))</f>
        <v/>
      </c>
      <c r="AE82" s="38">
        <f>IF(OR(P82="",Z82=""),"",IFERROR(ROUND(440*2^((12*(Z82+1)+IFERROR(MATCH(U82,{"C","C#","D","D#","E","F","F#","G","G#","A","A#","B"},0)-1,MATCH(U82,{"C","Db","D","Eb","E","F","Gb","G","Ab","A","Bb","B"},0)-1)-69)/12),2),""))</f>
        <v/>
      </c>
      <c r="AF82" s="38">
        <f>IF(OR(Q82="",AA82=""),"",IFERROR(ROUND(440*2^((12*(AA82+1)+IFERROR(MATCH(V82,{"C","C#","D","D#","E","F","F#","G","G#","A","A#","B"},0)-1,MATCH(V82,{"C","Db","D","Eb","E","F","Gb","G","Ab","A","Bb","B"},0)-1)-69)/12),2),""))</f>
        <v/>
      </c>
      <c r="AG82" s="36" t="n"/>
      <c r="AH82" s="36" t="n"/>
      <c r="AI82" s="36" t="n"/>
      <c r="AJ82" s="36" t="inlineStr">
        <is>
          <t>Low</t>
        </is>
      </c>
      <c r="AK82" s="36" t="inlineStr">
        <is>
          <t>Medium</t>
        </is>
      </c>
      <c r="AL82" s="35" t="n"/>
    </row>
    <row r="83">
      <c r="A83" s="35" t="inlineStr">
        <is>
          <t>TEST_009</t>
        </is>
      </c>
      <c r="B83" s="35" t="n">
        <v>1</v>
      </c>
      <c r="C83" s="36" t="n"/>
      <c r="D83" s="36" t="n"/>
      <c r="E83" s="36" t="n"/>
      <c r="F83" s="36" t="n">
        <v>0.39</v>
      </c>
      <c r="G83" s="36" t="n">
        <v>0.35</v>
      </c>
      <c r="H83" s="36" t="n"/>
      <c r="I83" s="36" t="n"/>
      <c r="J83" s="36" t="n"/>
      <c r="K83" s="36" t="n">
        <v>0.63</v>
      </c>
      <c r="L83" s="36" t="n">
        <v>0.49</v>
      </c>
      <c r="M83" s="36" t="n"/>
      <c r="N83" s="36" t="inlineStr">
        <is>
          <t>N/A</t>
        </is>
      </c>
      <c r="O83" s="36" t="inlineStr">
        <is>
          <t>N/A</t>
        </is>
      </c>
      <c r="P83" s="36" t="inlineStr">
        <is>
          <t>C4</t>
        </is>
      </c>
      <c r="Q83" s="36" t="inlineStr">
        <is>
          <t>C4</t>
        </is>
      </c>
      <c r="R83" s="38">
        <f>IF(M83="","",LEFT(M83,LEN(M83)-1))</f>
        <v/>
      </c>
      <c r="S83" s="38">
        <f>IF(N83="","",LEFT(N83,LEN(N83)-1))</f>
        <v/>
      </c>
      <c r="T83" s="38">
        <f>IF(O83="","",LEFT(O83,LEN(O83)-1))</f>
        <v/>
      </c>
      <c r="U83" s="38">
        <f>IF(P83="","",LEFT(P83,LEN(P83)-1))</f>
        <v/>
      </c>
      <c r="V83" s="38">
        <f>IF(Q83="","",LEFT(Q83,LEN(Q83)-1))</f>
        <v/>
      </c>
      <c r="W83" s="38">
        <f>IF(M83="","",IFERROR(VALUE(RIGHT(M83,1)),""))</f>
        <v/>
      </c>
      <c r="X83" s="38">
        <f>IF(N83="","",IFERROR(VALUE(RIGHT(N83,1)),""))</f>
        <v/>
      </c>
      <c r="Y83" s="38">
        <f>IF(O83="","",IFERROR(VALUE(RIGHT(O83,1)),""))</f>
        <v/>
      </c>
      <c r="Z83" s="38">
        <f>IF(P83="","",IFERROR(VALUE(RIGHT(P83,1)),""))</f>
        <v/>
      </c>
      <c r="AA83" s="38">
        <f>IF(Q83="","",IFERROR(VALUE(RIGHT(Q83,1)),""))</f>
        <v/>
      </c>
      <c r="AB83" s="38">
        <f>IF(OR(M83="",W83=""),"",IFERROR(ROUND(440*2^((12*(W83+1)+IFERROR(MATCH(R83,{"C","C#","D","D#","E","F","F#","G","G#","A","A#","B"},0)-1,MATCH(R83,{"C","Db","D","Eb","E","F","Gb","G","Ab","A","Bb","B"},0)-1)-69)/12),2),""))</f>
        <v/>
      </c>
      <c r="AC83" s="38">
        <f>IF(OR(N83="",X83=""),"",IFERROR(ROUND(440*2^((12*(X83+1)+IFERROR(MATCH(S83,{"C","C#","D","D#","E","F","F#","G","G#","A","A#","B"},0)-1,MATCH(S83,{"C","Db","D","Eb","E","F","Gb","G","Ab","A","Bb","B"},0)-1)-69)/12),2),""))</f>
        <v/>
      </c>
      <c r="AD83" s="38">
        <f>IF(OR(O83="",Y83=""),"",IFERROR(ROUND(440*2^((12*(Y83+1)+IFERROR(MATCH(T83,{"C","C#","D","D#","E","F","F#","G","G#","A","A#","B"},0)-1,MATCH(T83,{"C","Db","D","Eb","E","F","Gb","G","Ab","A","Bb","B"},0)-1)-69)/12),2),""))</f>
        <v/>
      </c>
      <c r="AE83" s="38">
        <f>IF(OR(P83="",Z83=""),"",IFERROR(ROUND(440*2^((12*(Z83+1)+IFERROR(MATCH(U83,{"C","C#","D","D#","E","F","F#","G","G#","A","A#","B"},0)-1,MATCH(U83,{"C","Db","D","Eb","E","F","Gb","G","Ab","A","Bb","B"},0)-1)-69)/12),2),""))</f>
        <v/>
      </c>
      <c r="AF83" s="38">
        <f>IF(OR(Q83="",AA83=""),"",IFERROR(ROUND(440*2^((12*(AA83+1)+IFERROR(MATCH(V83,{"C","C#","D","D#","E","F","F#","G","G#","A","A#","B"},0)-1,MATCH(V83,{"C","Db","D","Eb","E","F","Gb","G","Ab","A","Bb","B"},0)-1)-69)/12),2),""))</f>
        <v/>
      </c>
      <c r="AG83" s="36" t="n"/>
      <c r="AH83" s="36" t="n"/>
      <c r="AI83" s="36" t="n"/>
      <c r="AJ83" s="36" t="inlineStr">
        <is>
          <t>Low</t>
        </is>
      </c>
      <c r="AK83" s="36" t="inlineStr">
        <is>
          <t>Medium</t>
        </is>
      </c>
      <c r="AL8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84">
      <c r="A84" s="35" t="inlineStr">
        <is>
          <t>TEST_009</t>
        </is>
      </c>
      <c r="B84" s="35" t="n">
        <v>2</v>
      </c>
      <c r="C84" s="36" t="n"/>
      <c r="D84" s="36" t="n"/>
      <c r="E84" s="36" t="n"/>
      <c r="F84" s="36" t="n">
        <v>0.64</v>
      </c>
      <c r="G84" s="36" t="n">
        <v>1.04</v>
      </c>
      <c r="H84" s="36" t="n"/>
      <c r="I84" s="36" t="n"/>
      <c r="J84" s="36" t="n"/>
      <c r="K84" s="36" t="n">
        <v>0.82</v>
      </c>
      <c r="L84" s="36" t="n">
        <v>1.24</v>
      </c>
      <c r="M84" s="36" t="n"/>
      <c r="N84" s="36" t="n"/>
      <c r="O84" s="36" t="n"/>
      <c r="P84" s="36" t="inlineStr">
        <is>
          <t>A3</t>
        </is>
      </c>
      <c r="Q84" s="36" t="inlineStr">
        <is>
          <t>D#3</t>
        </is>
      </c>
      <c r="R84" s="38">
        <f>IF(M84="","",LEFT(M84,LEN(M84)-1))</f>
        <v/>
      </c>
      <c r="S84" s="38">
        <f>IF(N84="","",LEFT(N84,LEN(N84)-1))</f>
        <v/>
      </c>
      <c r="T84" s="38">
        <f>IF(O84="","",LEFT(O84,LEN(O84)-1))</f>
        <v/>
      </c>
      <c r="U84" s="38">
        <f>IF(P84="","",LEFT(P84,LEN(P84)-1))</f>
        <v/>
      </c>
      <c r="V84" s="38">
        <f>IF(Q84="","",LEFT(Q84,LEN(Q84)-1))</f>
        <v/>
      </c>
      <c r="W84" s="38">
        <f>IF(M84="","",IFERROR(VALUE(RIGHT(M84,1)),""))</f>
        <v/>
      </c>
      <c r="X84" s="38">
        <f>IF(N84="","",IFERROR(VALUE(RIGHT(N84,1)),""))</f>
        <v/>
      </c>
      <c r="Y84" s="38">
        <f>IF(O84="","",IFERROR(VALUE(RIGHT(O84,1)),""))</f>
        <v/>
      </c>
      <c r="Z84" s="38">
        <f>IF(P84="","",IFERROR(VALUE(RIGHT(P84,1)),""))</f>
        <v/>
      </c>
      <c r="AA84" s="38">
        <f>IF(Q84="","",IFERROR(VALUE(RIGHT(Q84,1)),""))</f>
        <v/>
      </c>
      <c r="AB84" s="38">
        <f>IF(OR(M84="",W84=""),"",IFERROR(ROUND(440*2^((12*(W84+1)+IFERROR(MATCH(R84,{"C","C#","D","D#","E","F","F#","G","G#","A","A#","B"},0)-1,MATCH(R84,{"C","Db","D","Eb","E","F","Gb","G","Ab","A","Bb","B"},0)-1)-69)/12),2),""))</f>
        <v/>
      </c>
      <c r="AC84" s="38">
        <f>IF(OR(N84="",X84=""),"",IFERROR(ROUND(440*2^((12*(X84+1)+IFERROR(MATCH(S84,{"C","C#","D","D#","E","F","F#","G","G#","A","A#","B"},0)-1,MATCH(S84,{"C","Db","D","Eb","E","F","Gb","G","Ab","A","Bb","B"},0)-1)-69)/12),2),""))</f>
        <v/>
      </c>
      <c r="AD84" s="38">
        <f>IF(OR(O84="",Y84=""),"",IFERROR(ROUND(440*2^((12*(Y84+1)+IFERROR(MATCH(T84,{"C","C#","D","D#","E","F","F#","G","G#","A","A#","B"},0)-1,MATCH(T84,{"C","Db","D","Eb","E","F","Gb","G","Ab","A","Bb","B"},0)-1)-69)/12),2),""))</f>
        <v/>
      </c>
      <c r="AE84" s="38">
        <f>IF(OR(P84="",Z84=""),"",IFERROR(ROUND(440*2^((12*(Z84+1)+IFERROR(MATCH(U84,{"C","C#","D","D#","E","F","F#","G","G#","A","A#","B"},0)-1,MATCH(U84,{"C","Db","D","Eb","E","F","Gb","G","Ab","A","Bb","B"},0)-1)-69)/12),2),""))</f>
        <v/>
      </c>
      <c r="AF84" s="38">
        <f>IF(OR(Q84="",AA84=""),"",IFERROR(ROUND(440*2^((12*(AA84+1)+IFERROR(MATCH(V84,{"C","C#","D","D#","E","F","F#","G","G#","A","A#","B"},0)-1,MATCH(V84,{"C","Db","D","Eb","E","F","Gb","G","Ab","A","Bb","B"},0)-1)-69)/12),2),""))</f>
        <v/>
      </c>
      <c r="AG84" s="36" t="n"/>
      <c r="AH84" s="36" t="n"/>
      <c r="AI84" s="36" t="n"/>
      <c r="AJ84" s="36" t="inlineStr">
        <is>
          <t>Low</t>
        </is>
      </c>
      <c r="AK84" s="36" t="inlineStr">
        <is>
          <t>Low</t>
        </is>
      </c>
      <c r="AL84" s="35" t="n"/>
    </row>
    <row r="85">
      <c r="A85" s="35" t="inlineStr">
        <is>
          <t>TEST_009</t>
        </is>
      </c>
      <c r="B85" s="35" t="n">
        <v>3</v>
      </c>
      <c r="C85" s="36" t="n"/>
      <c r="D85" s="36" t="n"/>
      <c r="E85" s="36" t="n"/>
      <c r="F85" s="36" t="n">
        <v>1.25</v>
      </c>
      <c r="G85" s="36" t="n">
        <v>1.28</v>
      </c>
      <c r="H85" s="36" t="n"/>
      <c r="I85" s="36" t="n"/>
      <c r="J85" s="36" t="n"/>
      <c r="K85" s="36" t="n">
        <v>1.51</v>
      </c>
      <c r="L85" s="36" t="n">
        <v>1.44</v>
      </c>
      <c r="M85" s="36" t="n"/>
      <c r="N85" s="36" t="n"/>
      <c r="O85" s="36" t="n"/>
      <c r="P85" s="36" t="inlineStr">
        <is>
          <t>F4</t>
        </is>
      </c>
      <c r="Q85" s="36" t="inlineStr">
        <is>
          <t>F3</t>
        </is>
      </c>
      <c r="R85" s="38">
        <f>IF(M85="","",LEFT(M85,LEN(M85)-1))</f>
        <v/>
      </c>
      <c r="S85" s="38">
        <f>IF(N85="","",LEFT(N85,LEN(N85)-1))</f>
        <v/>
      </c>
      <c r="T85" s="38">
        <f>IF(O85="","",LEFT(O85,LEN(O85)-1))</f>
        <v/>
      </c>
      <c r="U85" s="38">
        <f>IF(P85="","",LEFT(P85,LEN(P85)-1))</f>
        <v/>
      </c>
      <c r="V85" s="38">
        <f>IF(Q85="","",LEFT(Q85,LEN(Q85)-1))</f>
        <v/>
      </c>
      <c r="W85" s="38">
        <f>IF(M85="","",IFERROR(VALUE(RIGHT(M85,1)),""))</f>
        <v/>
      </c>
      <c r="X85" s="38">
        <f>IF(N85="","",IFERROR(VALUE(RIGHT(N85,1)),""))</f>
        <v/>
      </c>
      <c r="Y85" s="38">
        <f>IF(O85="","",IFERROR(VALUE(RIGHT(O85,1)),""))</f>
        <v/>
      </c>
      <c r="Z85" s="38">
        <f>IF(P85="","",IFERROR(VALUE(RIGHT(P85,1)),""))</f>
        <v/>
      </c>
      <c r="AA85" s="38">
        <f>IF(Q85="","",IFERROR(VALUE(RIGHT(Q85,1)),""))</f>
        <v/>
      </c>
      <c r="AB85" s="38">
        <f>IF(OR(M85="",W85=""),"",IFERROR(ROUND(440*2^((12*(W85+1)+IFERROR(MATCH(R85,{"C","C#","D","D#","E","F","F#","G","G#","A","A#","B"},0)-1,MATCH(R85,{"C","Db","D","Eb","E","F","Gb","G","Ab","A","Bb","B"},0)-1)-69)/12),2),""))</f>
        <v/>
      </c>
      <c r="AC85" s="38">
        <f>IF(OR(N85="",X85=""),"",IFERROR(ROUND(440*2^((12*(X85+1)+IFERROR(MATCH(S85,{"C","C#","D","D#","E","F","F#","G","G#","A","A#","B"},0)-1,MATCH(S85,{"C","Db","D","Eb","E","F","Gb","G","Ab","A","Bb","B"},0)-1)-69)/12),2),""))</f>
        <v/>
      </c>
      <c r="AD85" s="38">
        <f>IF(OR(O85="",Y85=""),"",IFERROR(ROUND(440*2^((12*(Y85+1)+IFERROR(MATCH(T85,{"C","C#","D","D#","E","F","F#","G","G#","A","A#","B"},0)-1,MATCH(T85,{"C","Db","D","Eb","E","F","Gb","G","Ab","A","Bb","B"},0)-1)-69)/12),2),""))</f>
        <v/>
      </c>
      <c r="AE85" s="38">
        <f>IF(OR(P85="",Z85=""),"",IFERROR(ROUND(440*2^((12*(Z85+1)+IFERROR(MATCH(U85,{"C","C#","D","D#","E","F","F#","G","G#","A","A#","B"},0)-1,MATCH(U85,{"C","Db","D","Eb","E","F","Gb","G","Ab","A","Bb","B"},0)-1)-69)/12),2),""))</f>
        <v/>
      </c>
      <c r="AF85" s="38">
        <f>IF(OR(Q85="",AA85=""),"",IFERROR(ROUND(440*2^((12*(AA85+1)+IFERROR(MATCH(V85,{"C","C#","D","D#","E","F","F#","G","G#","A","A#","B"},0)-1,MATCH(V85,{"C","Db","D","Eb","E","F","Gb","G","Ab","A","Bb","B"},0)-1)-69)/12),2),""))</f>
        <v/>
      </c>
      <c r="AG85" s="36" t="n"/>
      <c r="AH85" s="36" t="n"/>
      <c r="AI85" s="36" t="n"/>
      <c r="AJ85" s="36" t="inlineStr">
        <is>
          <t>Low</t>
        </is>
      </c>
      <c r="AK85" s="36" t="inlineStr">
        <is>
          <t>Low</t>
        </is>
      </c>
      <c r="AL85" s="35" t="n"/>
    </row>
    <row r="86">
      <c r="A86" s="35" t="inlineStr">
        <is>
          <t>TEST_009</t>
        </is>
      </c>
      <c r="B86" s="35" t="n">
        <v>4</v>
      </c>
      <c r="C86" s="36" t="n"/>
      <c r="D86" s="36" t="n"/>
      <c r="E86" s="36" t="n"/>
      <c r="F86" s="36" t="n">
        <v>1.81</v>
      </c>
      <c r="G86" s="36" t="n">
        <v>1.92</v>
      </c>
      <c r="H86" s="36" t="n"/>
      <c r="I86" s="36" t="n"/>
      <c r="J86" s="36" t="n"/>
      <c r="K86" s="36" t="n">
        <v>1.95</v>
      </c>
      <c r="L86" s="36" t="n">
        <v>2.19</v>
      </c>
      <c r="M86" s="36" t="n"/>
      <c r="N86" s="36" t="n"/>
      <c r="O86" s="36" t="n"/>
      <c r="P86" s="36" t="inlineStr">
        <is>
          <t>E4</t>
        </is>
      </c>
      <c r="Q86" s="36" t="inlineStr">
        <is>
          <t>F3</t>
        </is>
      </c>
      <c r="R86" s="38">
        <f>IF(M86="","",LEFT(M86,LEN(M86)-1))</f>
        <v/>
      </c>
      <c r="S86" s="38">
        <f>IF(N86="","",LEFT(N86,LEN(N86)-1))</f>
        <v/>
      </c>
      <c r="T86" s="38">
        <f>IF(O86="","",LEFT(O86,LEN(O86)-1))</f>
        <v/>
      </c>
      <c r="U86" s="38">
        <f>IF(P86="","",LEFT(P86,LEN(P86)-1))</f>
        <v/>
      </c>
      <c r="V86" s="38">
        <f>IF(Q86="","",LEFT(Q86,LEN(Q86)-1))</f>
        <v/>
      </c>
      <c r="W86" s="38">
        <f>IF(M86="","",IFERROR(VALUE(RIGHT(M86,1)),""))</f>
        <v/>
      </c>
      <c r="X86" s="38">
        <f>IF(N86="","",IFERROR(VALUE(RIGHT(N86,1)),""))</f>
        <v/>
      </c>
      <c r="Y86" s="38">
        <f>IF(O86="","",IFERROR(VALUE(RIGHT(O86,1)),""))</f>
        <v/>
      </c>
      <c r="Z86" s="38">
        <f>IF(P86="","",IFERROR(VALUE(RIGHT(P86,1)),""))</f>
        <v/>
      </c>
      <c r="AA86" s="38">
        <f>IF(Q86="","",IFERROR(VALUE(RIGHT(Q86,1)),""))</f>
        <v/>
      </c>
      <c r="AB86" s="38">
        <f>IF(OR(M86="",W86=""),"",IFERROR(ROUND(440*2^((12*(W86+1)+IFERROR(MATCH(R86,{"C","C#","D","D#","E","F","F#","G","G#","A","A#","B"},0)-1,MATCH(R86,{"C","Db","D","Eb","E","F","Gb","G","Ab","A","Bb","B"},0)-1)-69)/12),2),""))</f>
        <v/>
      </c>
      <c r="AC86" s="38">
        <f>IF(OR(N86="",X86=""),"",IFERROR(ROUND(440*2^((12*(X86+1)+IFERROR(MATCH(S86,{"C","C#","D","D#","E","F","F#","G","G#","A","A#","B"},0)-1,MATCH(S86,{"C","Db","D","Eb","E","F","Gb","G","Ab","A","Bb","B"},0)-1)-69)/12),2),""))</f>
        <v/>
      </c>
      <c r="AD86" s="38">
        <f>IF(OR(O86="",Y86=""),"",IFERROR(ROUND(440*2^((12*(Y86+1)+IFERROR(MATCH(T86,{"C","C#","D","D#","E","F","F#","G","G#","A","A#","B"},0)-1,MATCH(T86,{"C","Db","D","Eb","E","F","Gb","G","Ab","A","Bb","B"},0)-1)-69)/12),2),""))</f>
        <v/>
      </c>
      <c r="AE86" s="38">
        <f>IF(OR(P86="",Z86=""),"",IFERROR(ROUND(440*2^((12*(Z86+1)+IFERROR(MATCH(U86,{"C","C#","D","D#","E","F","F#","G","G#","A","A#","B"},0)-1,MATCH(U86,{"C","Db","D","Eb","E","F","Gb","G","Ab","A","Bb","B"},0)-1)-69)/12),2),""))</f>
        <v/>
      </c>
      <c r="AF86" s="38">
        <f>IF(OR(Q86="",AA86=""),"",IFERROR(ROUND(440*2^((12*(AA86+1)+IFERROR(MATCH(V86,{"C","C#","D","D#","E","F","F#","G","G#","A","A#","B"},0)-1,MATCH(V86,{"C","Db","D","Eb","E","F","Gb","G","Ab","A","Bb","B"},0)-1)-69)/12),2),""))</f>
        <v/>
      </c>
      <c r="AG86" s="36" t="n"/>
      <c r="AH86" s="36" t="n"/>
      <c r="AI86" s="36" t="n"/>
      <c r="AJ86" s="36" t="inlineStr">
        <is>
          <t>Low</t>
        </is>
      </c>
      <c r="AK86" s="36" t="inlineStr">
        <is>
          <t>Low</t>
        </is>
      </c>
      <c r="AL86" s="35" t="n"/>
    </row>
    <row r="87">
      <c r="A87" s="35" t="inlineStr">
        <is>
          <t>TEST_009</t>
        </is>
      </c>
      <c r="B87" s="35" t="n">
        <v>5</v>
      </c>
      <c r="C87" s="36" t="n"/>
      <c r="D87" s="36" t="n"/>
      <c r="E87" s="36" t="n"/>
      <c r="F87" s="36" t="n">
        <v>2.05</v>
      </c>
      <c r="G87" s="36" t="n">
        <v>2.64</v>
      </c>
      <c r="H87" s="36" t="n"/>
      <c r="I87" s="36" t="n"/>
      <c r="J87" s="36" t="n"/>
      <c r="K87" s="36" t="n">
        <v>2.27</v>
      </c>
      <c r="L87" s="36" t="n">
        <v>2.88</v>
      </c>
      <c r="M87" s="36" t="n"/>
      <c r="N87" s="36" t="n"/>
      <c r="O87" s="36" t="n"/>
      <c r="P87" s="36" t="inlineStr">
        <is>
          <t>F4</t>
        </is>
      </c>
      <c r="Q87" s="36" t="inlineStr">
        <is>
          <t>C#3</t>
        </is>
      </c>
      <c r="R87" s="38">
        <f>IF(M87="","",LEFT(M87,LEN(M87)-1))</f>
        <v/>
      </c>
      <c r="S87" s="38">
        <f>IF(N87="","",LEFT(N87,LEN(N87)-1))</f>
        <v/>
      </c>
      <c r="T87" s="38">
        <f>IF(O87="","",LEFT(O87,LEN(O87)-1))</f>
        <v/>
      </c>
      <c r="U87" s="38">
        <f>IF(P87="","",LEFT(P87,LEN(P87)-1))</f>
        <v/>
      </c>
      <c r="V87" s="38">
        <f>IF(Q87="","",LEFT(Q87,LEN(Q87)-1))</f>
        <v/>
      </c>
      <c r="W87" s="38">
        <f>IF(M87="","",IFERROR(VALUE(RIGHT(M87,1)),""))</f>
        <v/>
      </c>
      <c r="X87" s="38">
        <f>IF(N87="","",IFERROR(VALUE(RIGHT(N87,1)),""))</f>
        <v/>
      </c>
      <c r="Y87" s="38">
        <f>IF(O87="","",IFERROR(VALUE(RIGHT(O87,1)),""))</f>
        <v/>
      </c>
      <c r="Z87" s="38">
        <f>IF(P87="","",IFERROR(VALUE(RIGHT(P87,1)),""))</f>
        <v/>
      </c>
      <c r="AA87" s="38">
        <f>IF(Q87="","",IFERROR(VALUE(RIGHT(Q87,1)),""))</f>
        <v/>
      </c>
      <c r="AB87" s="38">
        <f>IF(OR(M87="",W87=""),"",IFERROR(ROUND(440*2^((12*(W87+1)+IFERROR(MATCH(R87,{"C","C#","D","D#","E","F","F#","G","G#","A","A#","B"},0)-1,MATCH(R87,{"C","Db","D","Eb","E","F","Gb","G","Ab","A","Bb","B"},0)-1)-69)/12),2),""))</f>
        <v/>
      </c>
      <c r="AC87" s="38">
        <f>IF(OR(N87="",X87=""),"",IFERROR(ROUND(440*2^((12*(X87+1)+IFERROR(MATCH(S87,{"C","C#","D","D#","E","F","F#","G","G#","A","A#","B"},0)-1,MATCH(S87,{"C","Db","D","Eb","E","F","Gb","G","Ab","A","Bb","B"},0)-1)-69)/12),2),""))</f>
        <v/>
      </c>
      <c r="AD87" s="38">
        <f>IF(OR(O87="",Y87=""),"",IFERROR(ROUND(440*2^((12*(Y87+1)+IFERROR(MATCH(T87,{"C","C#","D","D#","E","F","F#","G","G#","A","A#","B"},0)-1,MATCH(T87,{"C","Db","D","Eb","E","F","Gb","G","Ab","A","Bb","B"},0)-1)-69)/12),2),""))</f>
        <v/>
      </c>
      <c r="AE87" s="38">
        <f>IF(OR(P87="",Z87=""),"",IFERROR(ROUND(440*2^((12*(Z87+1)+IFERROR(MATCH(U87,{"C","C#","D","D#","E","F","F#","G","G#","A","A#","B"},0)-1,MATCH(U87,{"C","Db","D","Eb","E","F","Gb","G","Ab","A","Bb","B"},0)-1)-69)/12),2),""))</f>
        <v/>
      </c>
      <c r="AF87" s="38">
        <f>IF(OR(Q87="",AA87=""),"",IFERROR(ROUND(440*2^((12*(AA87+1)+IFERROR(MATCH(V87,{"C","C#","D","D#","E","F","F#","G","G#","A","A#","B"},0)-1,MATCH(V87,{"C","Db","D","Eb","E","F","Gb","G","Ab","A","Bb","B"},0)-1)-69)/12),2),""))</f>
        <v/>
      </c>
      <c r="AG87" s="36" t="n"/>
      <c r="AH87" s="36" t="n"/>
      <c r="AI87" s="36" t="n"/>
      <c r="AJ87" s="36" t="inlineStr">
        <is>
          <t>Low</t>
        </is>
      </c>
      <c r="AK87" s="36" t="inlineStr">
        <is>
          <t>Low</t>
        </is>
      </c>
      <c r="AL87" s="35" t="n"/>
    </row>
    <row r="88">
      <c r="A88" s="35" t="inlineStr">
        <is>
          <t>TEST_009</t>
        </is>
      </c>
      <c r="B88" s="35" t="n">
        <v>6</v>
      </c>
      <c r="C88" s="36" t="n"/>
      <c r="D88" s="36" t="n"/>
      <c r="E88" s="36" t="n"/>
      <c r="F88" s="36" t="n">
        <v>3.31</v>
      </c>
      <c r="G88" s="36" t="n">
        <v>3.33</v>
      </c>
      <c r="H88" s="36" t="n"/>
      <c r="I88" s="36" t="n"/>
      <c r="J88" s="36" t="n"/>
      <c r="K88" s="36" t="n">
        <v>3.46</v>
      </c>
      <c r="L88" s="36" t="n">
        <v>3.54</v>
      </c>
      <c r="M88" s="36" t="n"/>
      <c r="N88" s="36" t="n"/>
      <c r="O88" s="36" t="n"/>
      <c r="P88" s="36" t="inlineStr">
        <is>
          <t>D5</t>
        </is>
      </c>
      <c r="Q88" s="36" t="inlineStr">
        <is>
          <t>D5</t>
        </is>
      </c>
      <c r="R88" s="38">
        <f>IF(M88="","",LEFT(M88,LEN(M88)-1))</f>
        <v/>
      </c>
      <c r="S88" s="38">
        <f>IF(N88="","",LEFT(N88,LEN(N88)-1))</f>
        <v/>
      </c>
      <c r="T88" s="38">
        <f>IF(O88="","",LEFT(O88,LEN(O88)-1))</f>
        <v/>
      </c>
      <c r="U88" s="38">
        <f>IF(P88="","",LEFT(P88,LEN(P88)-1))</f>
        <v/>
      </c>
      <c r="V88" s="38">
        <f>IF(Q88="","",LEFT(Q88,LEN(Q88)-1))</f>
        <v/>
      </c>
      <c r="W88" s="38">
        <f>IF(M88="","",IFERROR(VALUE(RIGHT(M88,1)),""))</f>
        <v/>
      </c>
      <c r="X88" s="38">
        <f>IF(N88="","",IFERROR(VALUE(RIGHT(N88,1)),""))</f>
        <v/>
      </c>
      <c r="Y88" s="38">
        <f>IF(O88="","",IFERROR(VALUE(RIGHT(O88,1)),""))</f>
        <v/>
      </c>
      <c r="Z88" s="38">
        <f>IF(P88="","",IFERROR(VALUE(RIGHT(P88,1)),""))</f>
        <v/>
      </c>
      <c r="AA88" s="38">
        <f>IF(Q88="","",IFERROR(VALUE(RIGHT(Q88,1)),""))</f>
        <v/>
      </c>
      <c r="AB88" s="38">
        <f>IF(OR(M88="",W88=""),"",IFERROR(ROUND(440*2^((12*(W88+1)+IFERROR(MATCH(R88,{"C","C#","D","D#","E","F","F#","G","G#","A","A#","B"},0)-1,MATCH(R88,{"C","Db","D","Eb","E","F","Gb","G","Ab","A","Bb","B"},0)-1)-69)/12),2),""))</f>
        <v/>
      </c>
      <c r="AC88" s="38">
        <f>IF(OR(N88="",X88=""),"",IFERROR(ROUND(440*2^((12*(X88+1)+IFERROR(MATCH(S88,{"C","C#","D","D#","E","F","F#","G","G#","A","A#","B"},0)-1,MATCH(S88,{"C","Db","D","Eb","E","F","Gb","G","Ab","A","Bb","B"},0)-1)-69)/12),2),""))</f>
        <v/>
      </c>
      <c r="AD88" s="38">
        <f>IF(OR(O88="",Y88=""),"",IFERROR(ROUND(440*2^((12*(Y88+1)+IFERROR(MATCH(T88,{"C","C#","D","D#","E","F","F#","G","G#","A","A#","B"},0)-1,MATCH(T88,{"C","Db","D","Eb","E","F","Gb","G","Ab","A","Bb","B"},0)-1)-69)/12),2),""))</f>
        <v/>
      </c>
      <c r="AE88" s="38">
        <f>IF(OR(P88="",Z88=""),"",IFERROR(ROUND(440*2^((12*(Z88+1)+IFERROR(MATCH(U88,{"C","C#","D","D#","E","F","F#","G","G#","A","A#","B"},0)-1,MATCH(U88,{"C","Db","D","Eb","E","F","Gb","G","Ab","A","Bb","B"},0)-1)-69)/12),2),""))</f>
        <v/>
      </c>
      <c r="AF88" s="38">
        <f>IF(OR(Q88="",AA88=""),"",IFERROR(ROUND(440*2^((12*(AA88+1)+IFERROR(MATCH(V88,{"C","C#","D","D#","E","F","F#","G","G#","A","A#","B"},0)-1,MATCH(V88,{"C","Db","D","Eb","E","F","Gb","G","Ab","A","Bb","B"},0)-1)-69)/12),2),""))</f>
        <v/>
      </c>
      <c r="AG88" s="36" t="n"/>
      <c r="AH88" s="36" t="n"/>
      <c r="AI88" s="36" t="n"/>
      <c r="AJ88" s="36" t="inlineStr">
        <is>
          <t>Low</t>
        </is>
      </c>
      <c r="AK88" s="36" t="inlineStr">
        <is>
          <t>Medium</t>
        </is>
      </c>
      <c r="AL88" s="35" t="n"/>
    </row>
    <row r="89">
      <c r="A89" s="35" t="inlineStr">
        <is>
          <t>TEST_009</t>
        </is>
      </c>
      <c r="B89" s="35" t="n">
        <v>7</v>
      </c>
      <c r="C89" s="36" t="n"/>
      <c r="D89" s="36" t="n"/>
      <c r="E89" s="36" t="n"/>
      <c r="F89" s="36" t="n">
        <v>3.72</v>
      </c>
      <c r="G89" s="36" t="n">
        <v>5.24</v>
      </c>
      <c r="H89" s="36" t="n"/>
      <c r="I89" s="36" t="n"/>
      <c r="J89" s="36" t="n"/>
      <c r="K89" s="36" t="n">
        <v>4.17</v>
      </c>
      <c r="L89" s="36" t="n">
        <v>5.36</v>
      </c>
      <c r="M89" s="36" t="n"/>
      <c r="N89" s="36" t="n"/>
      <c r="O89" s="36" t="n"/>
      <c r="P89" s="36" t="inlineStr">
        <is>
          <t>A#4</t>
        </is>
      </c>
      <c r="Q89" s="36" t="inlineStr">
        <is>
          <t>E5</t>
        </is>
      </c>
      <c r="R89" s="38">
        <f>IF(M89="","",LEFT(M89,LEN(M89)-1))</f>
        <v/>
      </c>
      <c r="S89" s="38">
        <f>IF(N89="","",LEFT(N89,LEN(N89)-1))</f>
        <v/>
      </c>
      <c r="T89" s="38">
        <f>IF(O89="","",LEFT(O89,LEN(O89)-1))</f>
        <v/>
      </c>
      <c r="U89" s="38">
        <f>IF(P89="","",LEFT(P89,LEN(P89)-1))</f>
        <v/>
      </c>
      <c r="V89" s="38">
        <f>IF(Q89="","",LEFT(Q89,LEN(Q89)-1))</f>
        <v/>
      </c>
      <c r="W89" s="38">
        <f>IF(M89="","",IFERROR(VALUE(RIGHT(M89,1)),""))</f>
        <v/>
      </c>
      <c r="X89" s="38">
        <f>IF(N89="","",IFERROR(VALUE(RIGHT(N89,1)),""))</f>
        <v/>
      </c>
      <c r="Y89" s="38">
        <f>IF(O89="","",IFERROR(VALUE(RIGHT(O89,1)),""))</f>
        <v/>
      </c>
      <c r="Z89" s="38">
        <f>IF(P89="","",IFERROR(VALUE(RIGHT(P89,1)),""))</f>
        <v/>
      </c>
      <c r="AA89" s="38">
        <f>IF(Q89="","",IFERROR(VALUE(RIGHT(Q89,1)),""))</f>
        <v/>
      </c>
      <c r="AB89" s="38">
        <f>IF(OR(M89="",W89=""),"",IFERROR(ROUND(440*2^((12*(W89+1)+IFERROR(MATCH(R89,{"C","C#","D","D#","E","F","F#","G","G#","A","A#","B"},0)-1,MATCH(R89,{"C","Db","D","Eb","E","F","Gb","G","Ab","A","Bb","B"},0)-1)-69)/12),2),""))</f>
        <v/>
      </c>
      <c r="AC89" s="38">
        <f>IF(OR(N89="",X89=""),"",IFERROR(ROUND(440*2^((12*(X89+1)+IFERROR(MATCH(S89,{"C","C#","D","D#","E","F","F#","G","G#","A","A#","B"},0)-1,MATCH(S89,{"C","Db","D","Eb","E","F","Gb","G","Ab","A","Bb","B"},0)-1)-69)/12),2),""))</f>
        <v/>
      </c>
      <c r="AD89" s="38">
        <f>IF(OR(O89="",Y89=""),"",IFERROR(ROUND(440*2^((12*(Y89+1)+IFERROR(MATCH(T89,{"C","C#","D","D#","E","F","F#","G","G#","A","A#","B"},0)-1,MATCH(T89,{"C","Db","D","Eb","E","F","Gb","G","Ab","A","Bb","B"},0)-1)-69)/12),2),""))</f>
        <v/>
      </c>
      <c r="AE89" s="38">
        <f>IF(OR(P89="",Z89=""),"",IFERROR(ROUND(440*2^((12*(Z89+1)+IFERROR(MATCH(U89,{"C","C#","D","D#","E","F","F#","G","G#","A","A#","B"},0)-1,MATCH(U89,{"C","Db","D","Eb","E","F","Gb","G","Ab","A","Bb","B"},0)-1)-69)/12),2),""))</f>
        <v/>
      </c>
      <c r="AF89" s="38">
        <f>IF(OR(Q89="",AA89=""),"",IFERROR(ROUND(440*2^((12*(AA89+1)+IFERROR(MATCH(V89,{"C","C#","D","D#","E","F","F#","G","G#","A","A#","B"},0)-1,MATCH(V89,{"C","Db","D","Eb","E","F","Gb","G","Ab","A","Bb","B"},0)-1)-69)/12),2),""))</f>
        <v/>
      </c>
      <c r="AG89" s="36" t="n"/>
      <c r="AH89" s="36" t="n"/>
      <c r="AI89" s="36" t="n"/>
      <c r="AJ89" s="36" t="inlineStr">
        <is>
          <t>Low</t>
        </is>
      </c>
      <c r="AK89" s="36" t="inlineStr">
        <is>
          <t>Low</t>
        </is>
      </c>
      <c r="AL89" s="35" t="n"/>
    </row>
    <row r="90">
      <c r="A90" s="35" t="inlineStr">
        <is>
          <t>TEST_009</t>
        </is>
      </c>
      <c r="B90" s="35" t="n">
        <v>8</v>
      </c>
      <c r="C90" s="36" t="n"/>
      <c r="D90" s="36" t="n"/>
      <c r="E90" s="36" t="n"/>
      <c r="F90" s="36" t="n">
        <v>4.17</v>
      </c>
      <c r="G90" s="36" t="n">
        <v>5.67</v>
      </c>
      <c r="H90" s="36" t="n"/>
      <c r="I90" s="36" t="n"/>
      <c r="J90" s="36" t="n"/>
      <c r="K90" s="36" t="n">
        <v>4.32</v>
      </c>
      <c r="L90" s="36" t="n">
        <v>5.79</v>
      </c>
      <c r="M90" s="36" t="n"/>
      <c r="N90" s="36" t="n"/>
      <c r="O90" s="36" t="n"/>
      <c r="P90" s="36" t="inlineStr">
        <is>
          <t>A#4</t>
        </is>
      </c>
      <c r="Q90" s="36" t="inlineStr">
        <is>
          <t>C5</t>
        </is>
      </c>
      <c r="R90" s="38">
        <f>IF(M90="","",LEFT(M90,LEN(M90)-1))</f>
        <v/>
      </c>
      <c r="S90" s="38">
        <f>IF(N90="","",LEFT(N90,LEN(N90)-1))</f>
        <v/>
      </c>
      <c r="T90" s="38">
        <f>IF(O90="","",LEFT(O90,LEN(O90)-1))</f>
        <v/>
      </c>
      <c r="U90" s="38">
        <f>IF(P90="","",LEFT(P90,LEN(P90)-1))</f>
        <v/>
      </c>
      <c r="V90" s="38">
        <f>IF(Q90="","",LEFT(Q90,LEN(Q90)-1))</f>
        <v/>
      </c>
      <c r="W90" s="38">
        <f>IF(M90="","",IFERROR(VALUE(RIGHT(M90,1)),""))</f>
        <v/>
      </c>
      <c r="X90" s="38">
        <f>IF(N90="","",IFERROR(VALUE(RIGHT(N90,1)),""))</f>
        <v/>
      </c>
      <c r="Y90" s="38">
        <f>IF(O90="","",IFERROR(VALUE(RIGHT(O90,1)),""))</f>
        <v/>
      </c>
      <c r="Z90" s="38">
        <f>IF(P90="","",IFERROR(VALUE(RIGHT(P90,1)),""))</f>
        <v/>
      </c>
      <c r="AA90" s="38">
        <f>IF(Q90="","",IFERROR(VALUE(RIGHT(Q90,1)),""))</f>
        <v/>
      </c>
      <c r="AB90" s="38">
        <f>IF(OR(M90="",W90=""),"",IFERROR(ROUND(440*2^((12*(W90+1)+IFERROR(MATCH(R90,{"C","C#","D","D#","E","F","F#","G","G#","A","A#","B"},0)-1,MATCH(R90,{"C","Db","D","Eb","E","F","Gb","G","Ab","A","Bb","B"},0)-1)-69)/12),2),""))</f>
        <v/>
      </c>
      <c r="AC90" s="38">
        <f>IF(OR(N90="",X90=""),"",IFERROR(ROUND(440*2^((12*(X90+1)+IFERROR(MATCH(S90,{"C","C#","D","D#","E","F","F#","G","G#","A","A#","B"},0)-1,MATCH(S90,{"C","Db","D","Eb","E","F","Gb","G","Ab","A","Bb","B"},0)-1)-69)/12),2),""))</f>
        <v/>
      </c>
      <c r="AD90" s="38">
        <f>IF(OR(O90="",Y90=""),"",IFERROR(ROUND(440*2^((12*(Y90+1)+IFERROR(MATCH(T90,{"C","C#","D","D#","E","F","F#","G","G#","A","A#","B"},0)-1,MATCH(T90,{"C","Db","D","Eb","E","F","Gb","G","Ab","A","Bb","B"},0)-1)-69)/12),2),""))</f>
        <v/>
      </c>
      <c r="AE90" s="38">
        <f>IF(OR(P90="",Z90=""),"",IFERROR(ROUND(440*2^((12*(Z90+1)+IFERROR(MATCH(U90,{"C","C#","D","D#","E","F","F#","G","G#","A","A#","B"},0)-1,MATCH(U90,{"C","Db","D","Eb","E","F","Gb","G","Ab","A","Bb","B"},0)-1)-69)/12),2),""))</f>
        <v/>
      </c>
      <c r="AF90" s="38">
        <f>IF(OR(Q90="",AA90=""),"",IFERROR(ROUND(440*2^((12*(AA90+1)+IFERROR(MATCH(V90,{"C","C#","D","D#","E","F","F#","G","G#","A","A#","B"},0)-1,MATCH(V90,{"C","Db","D","Eb","E","F","Gb","G","Ab","A","Bb","B"},0)-1)-69)/12),2),""))</f>
        <v/>
      </c>
      <c r="AG90" s="36" t="n"/>
      <c r="AH90" s="36" t="n"/>
      <c r="AI90" s="36" t="n"/>
      <c r="AJ90" s="36" t="inlineStr">
        <is>
          <t>Low</t>
        </is>
      </c>
      <c r="AK90" s="36" t="inlineStr">
        <is>
          <t>Low</t>
        </is>
      </c>
      <c r="AL90" s="35" t="n"/>
    </row>
    <row r="91">
      <c r="A91" s="35" t="inlineStr">
        <is>
          <t>TEST_009</t>
        </is>
      </c>
      <c r="B91" s="35" t="n">
        <v>9</v>
      </c>
      <c r="C91" s="36" t="n"/>
      <c r="D91" s="36" t="n"/>
      <c r="E91" s="36" t="n"/>
      <c r="F91" s="36" t="n">
        <v>4.47</v>
      </c>
      <c r="G91" s="36" t="n">
        <v>20.6</v>
      </c>
      <c r="H91" s="36" t="n"/>
      <c r="I91" s="36" t="n"/>
      <c r="J91" s="36" t="n"/>
      <c r="K91" s="36" t="n">
        <v>4.6</v>
      </c>
      <c r="L91" s="36" t="n">
        <v>20.91</v>
      </c>
      <c r="M91" s="36" t="n"/>
      <c r="N91" s="36" t="n"/>
      <c r="O91" s="36" t="n"/>
      <c r="P91" s="36" t="inlineStr">
        <is>
          <t>D5</t>
        </is>
      </c>
      <c r="Q91" s="36" t="inlineStr">
        <is>
          <t>F4</t>
        </is>
      </c>
      <c r="R91" s="38">
        <f>IF(M91="","",LEFT(M91,LEN(M91)-1))</f>
        <v/>
      </c>
      <c r="S91" s="38">
        <f>IF(N91="","",LEFT(N91,LEN(N91)-1))</f>
        <v/>
      </c>
      <c r="T91" s="38">
        <f>IF(O91="","",LEFT(O91,LEN(O91)-1))</f>
        <v/>
      </c>
      <c r="U91" s="38">
        <f>IF(P91="","",LEFT(P91,LEN(P91)-1))</f>
        <v/>
      </c>
      <c r="V91" s="38">
        <f>IF(Q91="","",LEFT(Q91,LEN(Q91)-1))</f>
        <v/>
      </c>
      <c r="W91" s="38">
        <f>IF(M91="","",IFERROR(VALUE(RIGHT(M91,1)),""))</f>
        <v/>
      </c>
      <c r="X91" s="38">
        <f>IF(N91="","",IFERROR(VALUE(RIGHT(N91,1)),""))</f>
        <v/>
      </c>
      <c r="Y91" s="38">
        <f>IF(O91="","",IFERROR(VALUE(RIGHT(O91,1)),""))</f>
        <v/>
      </c>
      <c r="Z91" s="38">
        <f>IF(P91="","",IFERROR(VALUE(RIGHT(P91,1)),""))</f>
        <v/>
      </c>
      <c r="AA91" s="38">
        <f>IF(Q91="","",IFERROR(VALUE(RIGHT(Q91,1)),""))</f>
        <v/>
      </c>
      <c r="AB91" s="38">
        <f>IF(OR(M91="",W91=""),"",IFERROR(ROUND(440*2^((12*(W91+1)+IFERROR(MATCH(R91,{"C","C#","D","D#","E","F","F#","G","G#","A","A#","B"},0)-1,MATCH(R91,{"C","Db","D","Eb","E","F","Gb","G","Ab","A","Bb","B"},0)-1)-69)/12),2),""))</f>
        <v/>
      </c>
      <c r="AC91" s="38">
        <f>IF(OR(N91="",X91=""),"",IFERROR(ROUND(440*2^((12*(X91+1)+IFERROR(MATCH(S91,{"C","C#","D","D#","E","F","F#","G","G#","A","A#","B"},0)-1,MATCH(S91,{"C","Db","D","Eb","E","F","Gb","G","Ab","A","Bb","B"},0)-1)-69)/12),2),""))</f>
        <v/>
      </c>
      <c r="AD91" s="38">
        <f>IF(OR(O91="",Y91=""),"",IFERROR(ROUND(440*2^((12*(Y91+1)+IFERROR(MATCH(T91,{"C","C#","D","D#","E","F","F#","G","G#","A","A#","B"},0)-1,MATCH(T91,{"C","Db","D","Eb","E","F","Gb","G","Ab","A","Bb","B"},0)-1)-69)/12),2),""))</f>
        <v/>
      </c>
      <c r="AE91" s="38">
        <f>IF(OR(P91="",Z91=""),"",IFERROR(ROUND(440*2^((12*(Z91+1)+IFERROR(MATCH(U91,{"C","C#","D","D#","E","F","F#","G","G#","A","A#","B"},0)-1,MATCH(U91,{"C","Db","D","Eb","E","F","Gb","G","Ab","A","Bb","B"},0)-1)-69)/12),2),""))</f>
        <v/>
      </c>
      <c r="AF91" s="38">
        <f>IF(OR(Q91="",AA91=""),"",IFERROR(ROUND(440*2^((12*(AA91+1)+IFERROR(MATCH(V91,{"C","C#","D","D#","E","F","F#","G","G#","A","A#","B"},0)-1,MATCH(V91,{"C","Db","D","Eb","E","F","Gb","G","Ab","A","Bb","B"},0)-1)-69)/12),2),""))</f>
        <v/>
      </c>
      <c r="AG91" s="36" t="n"/>
      <c r="AH91" s="36" t="n"/>
      <c r="AI91" s="36" t="n"/>
      <c r="AJ91" s="36" t="inlineStr">
        <is>
          <t>Low</t>
        </is>
      </c>
      <c r="AK91" s="36" t="inlineStr">
        <is>
          <t>Low</t>
        </is>
      </c>
      <c r="AL91" s="35" t="n"/>
    </row>
    <row r="92">
      <c r="A92" s="35" t="inlineStr">
        <is>
          <t>TEST_009</t>
        </is>
      </c>
      <c r="B92" s="35" t="n">
        <v>10</v>
      </c>
      <c r="C92" s="36" t="n"/>
      <c r="D92" s="36" t="n"/>
      <c r="E92" s="36" t="n"/>
      <c r="F92" s="36" t="n">
        <v>4.9</v>
      </c>
      <c r="G92" s="36" t="n">
        <v>21.48</v>
      </c>
      <c r="H92" s="36" t="n"/>
      <c r="I92" s="36" t="n"/>
      <c r="J92" s="36" t="n"/>
      <c r="K92" s="36" t="n">
        <v>5.39</v>
      </c>
      <c r="L92" s="36" t="n">
        <v>21.61</v>
      </c>
      <c r="M92" s="36" t="n"/>
      <c r="N92" s="36" t="n"/>
      <c r="O92" s="36" t="n"/>
      <c r="P92" s="36" t="inlineStr">
        <is>
          <t>E5</t>
        </is>
      </c>
      <c r="Q92" s="36" t="inlineStr">
        <is>
          <t>A4</t>
        </is>
      </c>
      <c r="R92" s="38">
        <f>IF(M92="","",LEFT(M92,LEN(M92)-1))</f>
        <v/>
      </c>
      <c r="S92" s="38">
        <f>IF(N92="","",LEFT(N92,LEN(N92)-1))</f>
        <v/>
      </c>
      <c r="T92" s="38">
        <f>IF(O92="","",LEFT(O92,LEN(O92)-1))</f>
        <v/>
      </c>
      <c r="U92" s="38">
        <f>IF(P92="","",LEFT(P92,LEN(P92)-1))</f>
        <v/>
      </c>
      <c r="V92" s="38">
        <f>IF(Q92="","",LEFT(Q92,LEN(Q92)-1))</f>
        <v/>
      </c>
      <c r="W92" s="38">
        <f>IF(M92="","",IFERROR(VALUE(RIGHT(M92,1)),""))</f>
        <v/>
      </c>
      <c r="X92" s="38">
        <f>IF(N92="","",IFERROR(VALUE(RIGHT(N92,1)),""))</f>
        <v/>
      </c>
      <c r="Y92" s="38">
        <f>IF(O92="","",IFERROR(VALUE(RIGHT(O92,1)),""))</f>
        <v/>
      </c>
      <c r="Z92" s="38">
        <f>IF(P92="","",IFERROR(VALUE(RIGHT(P92,1)),""))</f>
        <v/>
      </c>
      <c r="AA92" s="38">
        <f>IF(Q92="","",IFERROR(VALUE(RIGHT(Q92,1)),""))</f>
        <v/>
      </c>
      <c r="AB92" s="38">
        <f>IF(OR(M92="",W92=""),"",IFERROR(ROUND(440*2^((12*(W92+1)+IFERROR(MATCH(R92,{"C","C#","D","D#","E","F","F#","G","G#","A","A#","B"},0)-1,MATCH(R92,{"C","Db","D","Eb","E","F","Gb","G","Ab","A","Bb","B"},0)-1)-69)/12),2),""))</f>
        <v/>
      </c>
      <c r="AC92" s="38">
        <f>IF(OR(N92="",X92=""),"",IFERROR(ROUND(440*2^((12*(X92+1)+IFERROR(MATCH(S92,{"C","C#","D","D#","E","F","F#","G","G#","A","A#","B"},0)-1,MATCH(S92,{"C","Db","D","Eb","E","F","Gb","G","Ab","A","Bb","B"},0)-1)-69)/12),2),""))</f>
        <v/>
      </c>
      <c r="AD92" s="38">
        <f>IF(OR(O92="",Y92=""),"",IFERROR(ROUND(440*2^((12*(Y92+1)+IFERROR(MATCH(T92,{"C","C#","D","D#","E","F","F#","G","G#","A","A#","B"},0)-1,MATCH(T92,{"C","Db","D","Eb","E","F","Gb","G","Ab","A","Bb","B"},0)-1)-69)/12),2),""))</f>
        <v/>
      </c>
      <c r="AE92" s="38">
        <f>IF(OR(P92="",Z92=""),"",IFERROR(ROUND(440*2^((12*(Z92+1)+IFERROR(MATCH(U92,{"C","C#","D","D#","E","F","F#","G","G#","A","A#","B"},0)-1,MATCH(U92,{"C","Db","D","Eb","E","F","Gb","G","Ab","A","Bb","B"},0)-1)-69)/12),2),""))</f>
        <v/>
      </c>
      <c r="AF92" s="38">
        <f>IF(OR(Q92="",AA92=""),"",IFERROR(ROUND(440*2^((12*(AA92+1)+IFERROR(MATCH(V92,{"C","C#","D","D#","E","F","F#","G","G#","A","A#","B"},0)-1,MATCH(V92,{"C","Db","D","Eb","E","F","Gb","G","Ab","A","Bb","B"},0)-1)-69)/12),2),""))</f>
        <v/>
      </c>
      <c r="AG92" s="36" t="n"/>
      <c r="AH92" s="36" t="n"/>
      <c r="AI92" s="36" t="n"/>
      <c r="AJ92" s="36" t="inlineStr">
        <is>
          <t>Low</t>
        </is>
      </c>
      <c r="AK92" s="36" t="inlineStr">
        <is>
          <t>Low</t>
        </is>
      </c>
      <c r="AL92" s="35" t="n"/>
    </row>
    <row r="93">
      <c r="A93" s="35" t="inlineStr">
        <is>
          <t>TEST_010</t>
        </is>
      </c>
      <c r="B93" s="35" t="n">
        <v>1</v>
      </c>
      <c r="C93" s="36" t="n"/>
      <c r="D93" s="36" t="n"/>
      <c r="E93" s="36" t="n"/>
      <c r="F93" s="36" t="n">
        <v>1.19</v>
      </c>
      <c r="G93" s="36" t="n">
        <v>0.27</v>
      </c>
      <c r="H93" s="36" t="n"/>
      <c r="I93" s="36" t="n"/>
      <c r="J93" s="36" t="n"/>
      <c r="K93" s="36" t="n">
        <v>1.37</v>
      </c>
      <c r="L93" s="36" t="n">
        <v>0.55</v>
      </c>
      <c r="M93" s="36" t="n"/>
      <c r="N93" s="36" t="inlineStr">
        <is>
          <t>N/A</t>
        </is>
      </c>
      <c r="O93" s="36" t="inlineStr">
        <is>
          <t>N/A</t>
        </is>
      </c>
      <c r="P93" s="36" t="inlineStr">
        <is>
          <t>F#4</t>
        </is>
      </c>
      <c r="Q93" s="36" t="inlineStr">
        <is>
          <t>B3</t>
        </is>
      </c>
      <c r="R93" s="38">
        <f>IF(M93="","",LEFT(M93,LEN(M93)-1))</f>
        <v/>
      </c>
      <c r="S93" s="38">
        <f>IF(N93="","",LEFT(N93,LEN(N93)-1))</f>
        <v/>
      </c>
      <c r="T93" s="38">
        <f>IF(O93="","",LEFT(O93,LEN(O93)-1))</f>
        <v/>
      </c>
      <c r="U93" s="38">
        <f>IF(P93="","",LEFT(P93,LEN(P93)-1))</f>
        <v/>
      </c>
      <c r="V93" s="38">
        <f>IF(Q93="","",LEFT(Q93,LEN(Q93)-1))</f>
        <v/>
      </c>
      <c r="W93" s="38">
        <f>IF(M93="","",IFERROR(VALUE(RIGHT(M93,1)),""))</f>
        <v/>
      </c>
      <c r="X93" s="38">
        <f>IF(N93="","",IFERROR(VALUE(RIGHT(N93,1)),""))</f>
        <v/>
      </c>
      <c r="Y93" s="38">
        <f>IF(O93="","",IFERROR(VALUE(RIGHT(O93,1)),""))</f>
        <v/>
      </c>
      <c r="Z93" s="38">
        <f>IF(P93="","",IFERROR(VALUE(RIGHT(P93,1)),""))</f>
        <v/>
      </c>
      <c r="AA93" s="38">
        <f>IF(Q93="","",IFERROR(VALUE(RIGHT(Q93,1)),""))</f>
        <v/>
      </c>
      <c r="AB93" s="38">
        <f>IF(OR(M93="",W93=""),"",IFERROR(ROUND(440*2^((12*(W93+1)+IFERROR(MATCH(R93,{"C","C#","D","D#","E","F","F#","G","G#","A","A#","B"},0)-1,MATCH(R93,{"C","Db","D","Eb","E","F","Gb","G","Ab","A","Bb","B"},0)-1)-69)/12),2),""))</f>
        <v/>
      </c>
      <c r="AC93" s="38">
        <f>IF(OR(N93="",X93=""),"",IFERROR(ROUND(440*2^((12*(X93+1)+IFERROR(MATCH(S93,{"C","C#","D","D#","E","F","F#","G","G#","A","A#","B"},0)-1,MATCH(S93,{"C","Db","D","Eb","E","F","Gb","G","Ab","A","Bb","B"},0)-1)-69)/12),2),""))</f>
        <v/>
      </c>
      <c r="AD93" s="38">
        <f>IF(OR(O93="",Y93=""),"",IFERROR(ROUND(440*2^((12*(Y93+1)+IFERROR(MATCH(T93,{"C","C#","D","D#","E","F","F#","G","G#","A","A#","B"},0)-1,MATCH(T93,{"C","Db","D","Eb","E","F","Gb","G","Ab","A","Bb","B"},0)-1)-69)/12),2),""))</f>
        <v/>
      </c>
      <c r="AE93" s="38">
        <f>IF(OR(P93="",Z93=""),"",IFERROR(ROUND(440*2^((12*(Z93+1)+IFERROR(MATCH(U93,{"C","C#","D","D#","E","F","F#","G","G#","A","A#","B"},0)-1,MATCH(U93,{"C","Db","D","Eb","E","F","Gb","G","Ab","A","Bb","B"},0)-1)-69)/12),2),""))</f>
        <v/>
      </c>
      <c r="AF93" s="38">
        <f>IF(OR(Q93="",AA93=""),"",IFERROR(ROUND(440*2^((12*(AA93+1)+IFERROR(MATCH(V93,{"C","C#","D","D#","E","F","F#","G","G#","A","A#","B"},0)-1,MATCH(V93,{"C","Db","D","Eb","E","F","Gb","G","Ab","A","Bb","B"},0)-1)-69)/12),2),""))</f>
        <v/>
      </c>
      <c r="AG93" s="36" t="n"/>
      <c r="AH93" s="36" t="n"/>
      <c r="AI93" s="36" t="n"/>
      <c r="AJ93" s="36" t="inlineStr">
        <is>
          <t>Low</t>
        </is>
      </c>
      <c r="AK93" s="36" t="inlineStr">
        <is>
          <t>Medium</t>
        </is>
      </c>
      <c r="AL9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94">
      <c r="A94" s="35" t="inlineStr">
        <is>
          <t>TEST_010</t>
        </is>
      </c>
      <c r="B94" s="35" t="n">
        <v>2</v>
      </c>
      <c r="C94" s="36" t="n"/>
      <c r="D94" s="36" t="n"/>
      <c r="E94" s="36" t="n"/>
      <c r="F94" s="36" t="n">
        <v>1.38</v>
      </c>
      <c r="G94" s="36" t="n">
        <v>0.8100000000000001</v>
      </c>
      <c r="H94" s="36" t="n"/>
      <c r="I94" s="36" t="n"/>
      <c r="J94" s="36" t="n"/>
      <c r="K94" s="36" t="n">
        <v>1.5</v>
      </c>
      <c r="L94" s="36" t="n">
        <v>1.18</v>
      </c>
      <c r="M94" s="36" t="n"/>
      <c r="N94" s="36" t="n"/>
      <c r="O94" s="36" t="n"/>
      <c r="P94" s="36" t="inlineStr">
        <is>
          <t>D#4</t>
        </is>
      </c>
      <c r="Q94" s="36" t="inlineStr">
        <is>
          <t>B2</t>
        </is>
      </c>
      <c r="R94" s="38">
        <f>IF(M94="","",LEFT(M94,LEN(M94)-1))</f>
        <v/>
      </c>
      <c r="S94" s="38">
        <f>IF(N94="","",LEFT(N94,LEN(N94)-1))</f>
        <v/>
      </c>
      <c r="T94" s="38">
        <f>IF(O94="","",LEFT(O94,LEN(O94)-1))</f>
        <v/>
      </c>
      <c r="U94" s="38">
        <f>IF(P94="","",LEFT(P94,LEN(P94)-1))</f>
        <v/>
      </c>
      <c r="V94" s="38">
        <f>IF(Q94="","",LEFT(Q94,LEN(Q94)-1))</f>
        <v/>
      </c>
      <c r="W94" s="38">
        <f>IF(M94="","",IFERROR(VALUE(RIGHT(M94,1)),""))</f>
        <v/>
      </c>
      <c r="X94" s="38">
        <f>IF(N94="","",IFERROR(VALUE(RIGHT(N94,1)),""))</f>
        <v/>
      </c>
      <c r="Y94" s="38">
        <f>IF(O94="","",IFERROR(VALUE(RIGHT(O94,1)),""))</f>
        <v/>
      </c>
      <c r="Z94" s="38">
        <f>IF(P94="","",IFERROR(VALUE(RIGHT(P94,1)),""))</f>
        <v/>
      </c>
      <c r="AA94" s="38">
        <f>IF(Q94="","",IFERROR(VALUE(RIGHT(Q94,1)),""))</f>
        <v/>
      </c>
      <c r="AB94" s="38">
        <f>IF(OR(M94="",W94=""),"",IFERROR(ROUND(440*2^((12*(W94+1)+IFERROR(MATCH(R94,{"C","C#","D","D#","E","F","F#","G","G#","A","A#","B"},0)-1,MATCH(R94,{"C","Db","D","Eb","E","F","Gb","G","Ab","A","Bb","B"},0)-1)-69)/12),2),""))</f>
        <v/>
      </c>
      <c r="AC94" s="38">
        <f>IF(OR(N94="",X94=""),"",IFERROR(ROUND(440*2^((12*(X94+1)+IFERROR(MATCH(S94,{"C","C#","D","D#","E","F","F#","G","G#","A","A#","B"},0)-1,MATCH(S94,{"C","Db","D","Eb","E","F","Gb","G","Ab","A","Bb","B"},0)-1)-69)/12),2),""))</f>
        <v/>
      </c>
      <c r="AD94" s="38">
        <f>IF(OR(O94="",Y94=""),"",IFERROR(ROUND(440*2^((12*(Y94+1)+IFERROR(MATCH(T94,{"C","C#","D","D#","E","F","F#","G","G#","A","A#","B"},0)-1,MATCH(T94,{"C","Db","D","Eb","E","F","Gb","G","Ab","A","Bb","B"},0)-1)-69)/12),2),""))</f>
        <v/>
      </c>
      <c r="AE94" s="38">
        <f>IF(OR(P94="",Z94=""),"",IFERROR(ROUND(440*2^((12*(Z94+1)+IFERROR(MATCH(U94,{"C","C#","D","D#","E","F","F#","G","G#","A","A#","B"},0)-1,MATCH(U94,{"C","Db","D","Eb","E","F","Gb","G","Ab","A","Bb","B"},0)-1)-69)/12),2),""))</f>
        <v/>
      </c>
      <c r="AF94" s="38">
        <f>IF(OR(Q94="",AA94=""),"",IFERROR(ROUND(440*2^((12*(AA94+1)+IFERROR(MATCH(V94,{"C","C#","D","D#","E","F","F#","G","G#","A","A#","B"},0)-1,MATCH(V94,{"C","Db","D","Eb","E","F","Gb","G","Ab","A","Bb","B"},0)-1)-69)/12),2),""))</f>
        <v/>
      </c>
      <c r="AG94" s="36" t="n"/>
      <c r="AH94" s="36" t="n"/>
      <c r="AI94" s="36" t="n"/>
      <c r="AJ94" s="36" t="inlineStr">
        <is>
          <t>Low</t>
        </is>
      </c>
      <c r="AK94" s="36" t="inlineStr">
        <is>
          <t>Low</t>
        </is>
      </c>
      <c r="AL94" s="35" t="n"/>
    </row>
    <row r="95">
      <c r="A95" s="35" t="inlineStr">
        <is>
          <t>TEST_010</t>
        </is>
      </c>
      <c r="B95" s="35" t="n">
        <v>3</v>
      </c>
      <c r="C95" s="36" t="n"/>
      <c r="D95" s="36" t="n"/>
      <c r="E95" s="36" t="n"/>
      <c r="F95" s="36" t="n">
        <v>1.5</v>
      </c>
      <c r="G95" s="36" t="n">
        <v>2.69</v>
      </c>
      <c r="H95" s="36" t="n"/>
      <c r="I95" s="36" t="n"/>
      <c r="J95" s="36" t="n"/>
      <c r="K95" s="36" t="n">
        <v>1.68</v>
      </c>
      <c r="L95" s="36" t="n">
        <v>2.89</v>
      </c>
      <c r="M95" s="36" t="n"/>
      <c r="N95" s="36" t="n"/>
      <c r="O95" s="36" t="n"/>
      <c r="P95" s="36" t="inlineStr">
        <is>
          <t>G#4</t>
        </is>
      </c>
      <c r="Q95" s="36" t="inlineStr">
        <is>
          <t>C#4</t>
        </is>
      </c>
      <c r="R95" s="38">
        <f>IF(M95="","",LEFT(M95,LEN(M95)-1))</f>
        <v/>
      </c>
      <c r="S95" s="38">
        <f>IF(N95="","",LEFT(N95,LEN(N95)-1))</f>
        <v/>
      </c>
      <c r="T95" s="38">
        <f>IF(O95="","",LEFT(O95,LEN(O95)-1))</f>
        <v/>
      </c>
      <c r="U95" s="38">
        <f>IF(P95="","",LEFT(P95,LEN(P95)-1))</f>
        <v/>
      </c>
      <c r="V95" s="38">
        <f>IF(Q95="","",LEFT(Q95,LEN(Q95)-1))</f>
        <v/>
      </c>
      <c r="W95" s="38">
        <f>IF(M95="","",IFERROR(VALUE(RIGHT(M95,1)),""))</f>
        <v/>
      </c>
      <c r="X95" s="38">
        <f>IF(N95="","",IFERROR(VALUE(RIGHT(N95,1)),""))</f>
        <v/>
      </c>
      <c r="Y95" s="38">
        <f>IF(O95="","",IFERROR(VALUE(RIGHT(O95,1)),""))</f>
        <v/>
      </c>
      <c r="Z95" s="38">
        <f>IF(P95="","",IFERROR(VALUE(RIGHT(P95,1)),""))</f>
        <v/>
      </c>
      <c r="AA95" s="38">
        <f>IF(Q95="","",IFERROR(VALUE(RIGHT(Q95,1)),""))</f>
        <v/>
      </c>
      <c r="AB95" s="38">
        <f>IF(OR(M95="",W95=""),"",IFERROR(ROUND(440*2^((12*(W95+1)+IFERROR(MATCH(R95,{"C","C#","D","D#","E","F","F#","G","G#","A","A#","B"},0)-1,MATCH(R95,{"C","Db","D","Eb","E","F","Gb","G","Ab","A","Bb","B"},0)-1)-69)/12),2),""))</f>
        <v/>
      </c>
      <c r="AC95" s="38">
        <f>IF(OR(N95="",X95=""),"",IFERROR(ROUND(440*2^((12*(X95+1)+IFERROR(MATCH(S95,{"C","C#","D","D#","E","F","F#","G","G#","A","A#","B"},0)-1,MATCH(S95,{"C","Db","D","Eb","E","F","Gb","G","Ab","A","Bb","B"},0)-1)-69)/12),2),""))</f>
        <v/>
      </c>
      <c r="AD95" s="38">
        <f>IF(OR(O95="",Y95=""),"",IFERROR(ROUND(440*2^((12*(Y95+1)+IFERROR(MATCH(T95,{"C","C#","D","D#","E","F","F#","G","G#","A","A#","B"},0)-1,MATCH(T95,{"C","Db","D","Eb","E","F","Gb","G","Ab","A","Bb","B"},0)-1)-69)/12),2),""))</f>
        <v/>
      </c>
      <c r="AE95" s="38">
        <f>IF(OR(P95="",Z95=""),"",IFERROR(ROUND(440*2^((12*(Z95+1)+IFERROR(MATCH(U95,{"C","C#","D","D#","E","F","F#","G","G#","A","A#","B"},0)-1,MATCH(U95,{"C","Db","D","Eb","E","F","Gb","G","Ab","A","Bb","B"},0)-1)-69)/12),2),""))</f>
        <v/>
      </c>
      <c r="AF95" s="38">
        <f>IF(OR(Q95="",AA95=""),"",IFERROR(ROUND(440*2^((12*(AA95+1)+IFERROR(MATCH(V95,{"C","C#","D","D#","E","F","F#","G","G#","A","A#","B"},0)-1,MATCH(V95,{"C","Db","D","Eb","E","F","Gb","G","Ab","A","Bb","B"},0)-1)-69)/12),2),""))</f>
        <v/>
      </c>
      <c r="AG95" s="36" t="n"/>
      <c r="AH95" s="36" t="n"/>
      <c r="AI95" s="36" t="n"/>
      <c r="AJ95" s="36" t="inlineStr">
        <is>
          <t>Low</t>
        </is>
      </c>
      <c r="AK95" s="36" t="inlineStr">
        <is>
          <t>Medium</t>
        </is>
      </c>
      <c r="AL95" s="35" t="n"/>
    </row>
    <row r="96">
      <c r="A96" s="35" t="inlineStr">
        <is>
          <t>TEST_010</t>
        </is>
      </c>
      <c r="B96" s="35" t="n">
        <v>4</v>
      </c>
      <c r="C96" s="36" t="n"/>
      <c r="D96" s="36" t="n"/>
      <c r="E96" s="36" t="n"/>
      <c r="F96" s="36" t="n">
        <v>2.47</v>
      </c>
      <c r="G96" s="36" t="n">
        <v>4.78</v>
      </c>
      <c r="H96" s="36" t="n"/>
      <c r="I96" s="36" t="n"/>
      <c r="J96" s="36" t="n"/>
      <c r="K96" s="36" t="n">
        <v>2.64</v>
      </c>
      <c r="L96" s="36" t="n">
        <v>4.96</v>
      </c>
      <c r="M96" s="36" t="n"/>
      <c r="N96" s="36" t="n"/>
      <c r="O96" s="36" t="n"/>
      <c r="P96" s="36" t="inlineStr">
        <is>
          <t>B3</t>
        </is>
      </c>
      <c r="Q96" s="36" t="inlineStr">
        <is>
          <t>D#4</t>
        </is>
      </c>
      <c r="R96" s="38">
        <f>IF(M96="","",LEFT(M96,LEN(M96)-1))</f>
        <v/>
      </c>
      <c r="S96" s="38">
        <f>IF(N96="","",LEFT(N96,LEN(N96)-1))</f>
        <v/>
      </c>
      <c r="T96" s="38">
        <f>IF(O96="","",LEFT(O96,LEN(O96)-1))</f>
        <v/>
      </c>
      <c r="U96" s="38">
        <f>IF(P96="","",LEFT(P96,LEN(P96)-1))</f>
        <v/>
      </c>
      <c r="V96" s="38">
        <f>IF(Q96="","",LEFT(Q96,LEN(Q96)-1))</f>
        <v/>
      </c>
      <c r="W96" s="38">
        <f>IF(M96="","",IFERROR(VALUE(RIGHT(M96,1)),""))</f>
        <v/>
      </c>
      <c r="X96" s="38">
        <f>IF(N96="","",IFERROR(VALUE(RIGHT(N96,1)),""))</f>
        <v/>
      </c>
      <c r="Y96" s="38">
        <f>IF(O96="","",IFERROR(VALUE(RIGHT(O96,1)),""))</f>
        <v/>
      </c>
      <c r="Z96" s="38">
        <f>IF(P96="","",IFERROR(VALUE(RIGHT(P96,1)),""))</f>
        <v/>
      </c>
      <c r="AA96" s="38">
        <f>IF(Q96="","",IFERROR(VALUE(RIGHT(Q96,1)),""))</f>
        <v/>
      </c>
      <c r="AB96" s="38">
        <f>IF(OR(M96="",W96=""),"",IFERROR(ROUND(440*2^((12*(W96+1)+IFERROR(MATCH(R96,{"C","C#","D","D#","E","F","F#","G","G#","A","A#","B"},0)-1,MATCH(R96,{"C","Db","D","Eb","E","F","Gb","G","Ab","A","Bb","B"},0)-1)-69)/12),2),""))</f>
        <v/>
      </c>
      <c r="AC96" s="38">
        <f>IF(OR(N96="",X96=""),"",IFERROR(ROUND(440*2^((12*(X96+1)+IFERROR(MATCH(S96,{"C","C#","D","D#","E","F","F#","G","G#","A","A#","B"},0)-1,MATCH(S96,{"C","Db","D","Eb","E","F","Gb","G","Ab","A","Bb","B"},0)-1)-69)/12),2),""))</f>
        <v/>
      </c>
      <c r="AD96" s="38">
        <f>IF(OR(O96="",Y96=""),"",IFERROR(ROUND(440*2^((12*(Y96+1)+IFERROR(MATCH(T96,{"C","C#","D","D#","E","F","F#","G","G#","A","A#","B"},0)-1,MATCH(T96,{"C","Db","D","Eb","E","F","Gb","G","Ab","A","Bb","B"},0)-1)-69)/12),2),""))</f>
        <v/>
      </c>
      <c r="AE96" s="38">
        <f>IF(OR(P96="",Z96=""),"",IFERROR(ROUND(440*2^((12*(Z96+1)+IFERROR(MATCH(U96,{"C","C#","D","D#","E","F","F#","G","G#","A","A#","B"},0)-1,MATCH(U96,{"C","Db","D","Eb","E","F","Gb","G","Ab","A","Bb","B"},0)-1)-69)/12),2),""))</f>
        <v/>
      </c>
      <c r="AF96" s="38">
        <f>IF(OR(Q96="",AA96=""),"",IFERROR(ROUND(440*2^((12*(AA96+1)+IFERROR(MATCH(V96,{"C","C#","D","D#","E","F","F#","G","G#","A","A#","B"},0)-1,MATCH(V96,{"C","Db","D","Eb","E","F","Gb","G","Ab","A","Bb","B"},0)-1)-69)/12),2),""))</f>
        <v/>
      </c>
      <c r="AG96" s="36" t="n"/>
      <c r="AH96" s="36" t="n"/>
      <c r="AI96" s="36" t="n"/>
      <c r="AJ96" s="36" t="inlineStr">
        <is>
          <t>Low</t>
        </is>
      </c>
      <c r="AK96" s="36" t="inlineStr">
        <is>
          <t>Medium</t>
        </is>
      </c>
      <c r="AL96" s="35" t="n"/>
    </row>
    <row r="97">
      <c r="A97" s="35" t="inlineStr">
        <is>
          <t>TEST_010</t>
        </is>
      </c>
      <c r="B97" s="35" t="n">
        <v>5</v>
      </c>
      <c r="C97" s="36" t="n"/>
      <c r="D97" s="36" t="n"/>
      <c r="E97" s="36" t="n"/>
      <c r="F97" s="36" t="n">
        <v>6.61</v>
      </c>
      <c r="G97" s="36" t="n">
        <v>6.03</v>
      </c>
      <c r="H97" s="36" t="n"/>
      <c r="I97" s="36" t="n"/>
      <c r="J97" s="36" t="n"/>
      <c r="K97" s="36" t="n">
        <v>6.83</v>
      </c>
      <c r="L97" s="36" t="n">
        <v>6.23</v>
      </c>
      <c r="M97" s="36" t="n"/>
      <c r="N97" s="36" t="n"/>
      <c r="O97" s="36" t="n"/>
      <c r="P97" s="36" t="inlineStr">
        <is>
          <t>G#4</t>
        </is>
      </c>
      <c r="Q97" s="36" t="inlineStr">
        <is>
          <t>A#2</t>
        </is>
      </c>
      <c r="R97" s="38">
        <f>IF(M97="","",LEFT(M97,LEN(M97)-1))</f>
        <v/>
      </c>
      <c r="S97" s="38">
        <f>IF(N97="","",LEFT(N97,LEN(N97)-1))</f>
        <v/>
      </c>
      <c r="T97" s="38">
        <f>IF(O97="","",LEFT(O97,LEN(O97)-1))</f>
        <v/>
      </c>
      <c r="U97" s="38">
        <f>IF(P97="","",LEFT(P97,LEN(P97)-1))</f>
        <v/>
      </c>
      <c r="V97" s="38">
        <f>IF(Q97="","",LEFT(Q97,LEN(Q97)-1))</f>
        <v/>
      </c>
      <c r="W97" s="38">
        <f>IF(M97="","",IFERROR(VALUE(RIGHT(M97,1)),""))</f>
        <v/>
      </c>
      <c r="X97" s="38">
        <f>IF(N97="","",IFERROR(VALUE(RIGHT(N97,1)),""))</f>
        <v/>
      </c>
      <c r="Y97" s="38">
        <f>IF(O97="","",IFERROR(VALUE(RIGHT(O97,1)),""))</f>
        <v/>
      </c>
      <c r="Z97" s="38">
        <f>IF(P97="","",IFERROR(VALUE(RIGHT(P97,1)),""))</f>
        <v/>
      </c>
      <c r="AA97" s="38">
        <f>IF(Q97="","",IFERROR(VALUE(RIGHT(Q97,1)),""))</f>
        <v/>
      </c>
      <c r="AB97" s="38">
        <f>IF(OR(M97="",W97=""),"",IFERROR(ROUND(440*2^((12*(W97+1)+IFERROR(MATCH(R97,{"C","C#","D","D#","E","F","F#","G","G#","A","A#","B"},0)-1,MATCH(R97,{"C","Db","D","Eb","E","F","Gb","G","Ab","A","Bb","B"},0)-1)-69)/12),2),""))</f>
        <v/>
      </c>
      <c r="AC97" s="38">
        <f>IF(OR(N97="",X97=""),"",IFERROR(ROUND(440*2^((12*(X97+1)+IFERROR(MATCH(S97,{"C","C#","D","D#","E","F","F#","G","G#","A","A#","B"},0)-1,MATCH(S97,{"C","Db","D","Eb","E","F","Gb","G","Ab","A","Bb","B"},0)-1)-69)/12),2),""))</f>
        <v/>
      </c>
      <c r="AD97" s="38">
        <f>IF(OR(O97="",Y97=""),"",IFERROR(ROUND(440*2^((12*(Y97+1)+IFERROR(MATCH(T97,{"C","C#","D","D#","E","F","F#","G","G#","A","A#","B"},0)-1,MATCH(T97,{"C","Db","D","Eb","E","F","Gb","G","Ab","A","Bb","B"},0)-1)-69)/12),2),""))</f>
        <v/>
      </c>
      <c r="AE97" s="38">
        <f>IF(OR(P97="",Z97=""),"",IFERROR(ROUND(440*2^((12*(Z97+1)+IFERROR(MATCH(U97,{"C","C#","D","D#","E","F","F#","G","G#","A","A#","B"},0)-1,MATCH(U97,{"C","Db","D","Eb","E","F","Gb","G","Ab","A","Bb","B"},0)-1)-69)/12),2),""))</f>
        <v/>
      </c>
      <c r="AF97" s="38">
        <f>IF(OR(Q97="",AA97=""),"",IFERROR(ROUND(440*2^((12*(AA97+1)+IFERROR(MATCH(V97,{"C","C#","D","D#","E","F","F#","G","G#","A","A#","B"},0)-1,MATCH(V97,{"C","Db","D","Eb","E","F","Gb","G","Ab","A","Bb","B"},0)-1)-69)/12),2),""))</f>
        <v/>
      </c>
      <c r="AG97" s="36" t="n"/>
      <c r="AH97" s="36" t="n"/>
      <c r="AI97" s="36" t="n"/>
      <c r="AJ97" s="36" t="inlineStr">
        <is>
          <t>Low</t>
        </is>
      </c>
      <c r="AK97" s="36" t="inlineStr">
        <is>
          <t>Low</t>
        </is>
      </c>
      <c r="AL97" s="35" t="n"/>
    </row>
    <row r="98">
      <c r="A98" s="35" t="inlineStr">
        <is>
          <t>TEST_010</t>
        </is>
      </c>
      <c r="B98" s="35" t="n">
        <v>6</v>
      </c>
      <c r="C98" s="36" t="n"/>
      <c r="D98" s="36" t="n"/>
      <c r="E98" s="36" t="n"/>
      <c r="F98" s="36" t="n">
        <v>6.84</v>
      </c>
      <c r="G98" s="36" t="n">
        <v>6.87</v>
      </c>
      <c r="H98" s="36" t="n"/>
      <c r="I98" s="36" t="n"/>
      <c r="J98" s="36" t="n"/>
      <c r="K98" s="36" t="n">
        <v>7.02</v>
      </c>
      <c r="L98" s="36" t="n">
        <v>7.02</v>
      </c>
      <c r="M98" s="36" t="n"/>
      <c r="N98" s="36" t="n"/>
      <c r="O98" s="36" t="n"/>
      <c r="P98" s="36" t="inlineStr">
        <is>
          <t>G4</t>
        </is>
      </c>
      <c r="Q98" s="36" t="inlineStr">
        <is>
          <t>G4</t>
        </is>
      </c>
      <c r="R98" s="38">
        <f>IF(M98="","",LEFT(M98,LEN(M98)-1))</f>
        <v/>
      </c>
      <c r="S98" s="38">
        <f>IF(N98="","",LEFT(N98,LEN(N98)-1))</f>
        <v/>
      </c>
      <c r="T98" s="38">
        <f>IF(O98="","",LEFT(O98,LEN(O98)-1))</f>
        <v/>
      </c>
      <c r="U98" s="38">
        <f>IF(P98="","",LEFT(P98,LEN(P98)-1))</f>
        <v/>
      </c>
      <c r="V98" s="38">
        <f>IF(Q98="","",LEFT(Q98,LEN(Q98)-1))</f>
        <v/>
      </c>
      <c r="W98" s="38">
        <f>IF(M98="","",IFERROR(VALUE(RIGHT(M98,1)),""))</f>
        <v/>
      </c>
      <c r="X98" s="38">
        <f>IF(N98="","",IFERROR(VALUE(RIGHT(N98,1)),""))</f>
        <v/>
      </c>
      <c r="Y98" s="38">
        <f>IF(O98="","",IFERROR(VALUE(RIGHT(O98,1)),""))</f>
        <v/>
      </c>
      <c r="Z98" s="38">
        <f>IF(P98="","",IFERROR(VALUE(RIGHT(P98,1)),""))</f>
        <v/>
      </c>
      <c r="AA98" s="38">
        <f>IF(Q98="","",IFERROR(VALUE(RIGHT(Q98,1)),""))</f>
        <v/>
      </c>
      <c r="AB98" s="38">
        <f>IF(OR(M98="",W98=""),"",IFERROR(ROUND(440*2^((12*(W98+1)+IFERROR(MATCH(R98,{"C","C#","D","D#","E","F","F#","G","G#","A","A#","B"},0)-1,MATCH(R98,{"C","Db","D","Eb","E","F","Gb","G","Ab","A","Bb","B"},0)-1)-69)/12),2),""))</f>
        <v/>
      </c>
      <c r="AC98" s="38">
        <f>IF(OR(N98="",X98=""),"",IFERROR(ROUND(440*2^((12*(X98+1)+IFERROR(MATCH(S98,{"C","C#","D","D#","E","F","F#","G","G#","A","A#","B"},0)-1,MATCH(S98,{"C","Db","D","Eb","E","F","Gb","G","Ab","A","Bb","B"},0)-1)-69)/12),2),""))</f>
        <v/>
      </c>
      <c r="AD98" s="38">
        <f>IF(OR(O98="",Y98=""),"",IFERROR(ROUND(440*2^((12*(Y98+1)+IFERROR(MATCH(T98,{"C","C#","D","D#","E","F","F#","G","G#","A","A#","B"},0)-1,MATCH(T98,{"C","Db","D","Eb","E","F","Gb","G","Ab","A","Bb","B"},0)-1)-69)/12),2),""))</f>
        <v/>
      </c>
      <c r="AE98" s="38">
        <f>IF(OR(P98="",Z98=""),"",IFERROR(ROUND(440*2^((12*(Z98+1)+IFERROR(MATCH(U98,{"C","C#","D","D#","E","F","F#","G","G#","A","A#","B"},0)-1,MATCH(U98,{"C","Db","D","Eb","E","F","Gb","G","Ab","A","Bb","B"},0)-1)-69)/12),2),""))</f>
        <v/>
      </c>
      <c r="AF98" s="38">
        <f>IF(OR(Q98="",AA98=""),"",IFERROR(ROUND(440*2^((12*(AA98+1)+IFERROR(MATCH(V98,{"C","C#","D","D#","E","F","F#","G","G#","A","A#","B"},0)-1,MATCH(V98,{"C","Db","D","Eb","E","F","Gb","G","Ab","A","Bb","B"},0)-1)-69)/12),2),""))</f>
        <v/>
      </c>
      <c r="AG98" s="36" t="n"/>
      <c r="AH98" s="36" t="n"/>
      <c r="AI98" s="36" t="n"/>
      <c r="AJ98" s="36" t="inlineStr">
        <is>
          <t>Low</t>
        </is>
      </c>
      <c r="AK98" s="36" t="inlineStr">
        <is>
          <t>Medium</t>
        </is>
      </c>
      <c r="AL98" s="35" t="n"/>
    </row>
    <row r="99">
      <c r="A99" s="35" t="inlineStr">
        <is>
          <t>TEST_010</t>
        </is>
      </c>
      <c r="B99" s="35" t="n">
        <v>7</v>
      </c>
      <c r="C99" s="36" t="n"/>
      <c r="D99" s="36" t="n"/>
      <c r="E99" s="36" t="n"/>
      <c r="F99" s="36" t="n">
        <v>11.47</v>
      </c>
      <c r="G99" s="36" t="n">
        <v>8</v>
      </c>
      <c r="H99" s="36" t="n"/>
      <c r="I99" s="36" t="n"/>
      <c r="J99" s="36" t="n"/>
      <c r="K99" s="36" t="n">
        <v>11.64</v>
      </c>
      <c r="L99" s="36" t="n">
        <v>8.16</v>
      </c>
      <c r="M99" s="36" t="n"/>
      <c r="N99" s="36" t="n"/>
      <c r="O99" s="36" t="n"/>
      <c r="P99" s="36" t="inlineStr">
        <is>
          <t>A#3</t>
        </is>
      </c>
      <c r="Q99" s="36" t="inlineStr">
        <is>
          <t>C#4</t>
        </is>
      </c>
      <c r="R99" s="38">
        <f>IF(M99="","",LEFT(M99,LEN(M99)-1))</f>
        <v/>
      </c>
      <c r="S99" s="38">
        <f>IF(N99="","",LEFT(N99,LEN(N99)-1))</f>
        <v/>
      </c>
      <c r="T99" s="38">
        <f>IF(O99="","",LEFT(O99,LEN(O99)-1))</f>
        <v/>
      </c>
      <c r="U99" s="38">
        <f>IF(P99="","",LEFT(P99,LEN(P99)-1))</f>
        <v/>
      </c>
      <c r="V99" s="38">
        <f>IF(Q99="","",LEFT(Q99,LEN(Q99)-1))</f>
        <v/>
      </c>
      <c r="W99" s="38">
        <f>IF(M99="","",IFERROR(VALUE(RIGHT(M99,1)),""))</f>
        <v/>
      </c>
      <c r="X99" s="38">
        <f>IF(N99="","",IFERROR(VALUE(RIGHT(N99,1)),""))</f>
        <v/>
      </c>
      <c r="Y99" s="38">
        <f>IF(O99="","",IFERROR(VALUE(RIGHT(O99,1)),""))</f>
        <v/>
      </c>
      <c r="Z99" s="38">
        <f>IF(P99="","",IFERROR(VALUE(RIGHT(P99,1)),""))</f>
        <v/>
      </c>
      <c r="AA99" s="38">
        <f>IF(Q99="","",IFERROR(VALUE(RIGHT(Q99,1)),""))</f>
        <v/>
      </c>
      <c r="AB99" s="38">
        <f>IF(OR(M99="",W99=""),"",IFERROR(ROUND(440*2^((12*(W99+1)+IFERROR(MATCH(R99,{"C","C#","D","D#","E","F","F#","G","G#","A","A#","B"},0)-1,MATCH(R99,{"C","Db","D","Eb","E","F","Gb","G","Ab","A","Bb","B"},0)-1)-69)/12),2),""))</f>
        <v/>
      </c>
      <c r="AC99" s="38">
        <f>IF(OR(N99="",X99=""),"",IFERROR(ROUND(440*2^((12*(X99+1)+IFERROR(MATCH(S99,{"C","C#","D","D#","E","F","F#","G","G#","A","A#","B"},0)-1,MATCH(S99,{"C","Db","D","Eb","E","F","Gb","G","Ab","A","Bb","B"},0)-1)-69)/12),2),""))</f>
        <v/>
      </c>
      <c r="AD99" s="38">
        <f>IF(OR(O99="",Y99=""),"",IFERROR(ROUND(440*2^((12*(Y99+1)+IFERROR(MATCH(T99,{"C","C#","D","D#","E","F","F#","G","G#","A","A#","B"},0)-1,MATCH(T99,{"C","Db","D","Eb","E","F","Gb","G","Ab","A","Bb","B"},0)-1)-69)/12),2),""))</f>
        <v/>
      </c>
      <c r="AE99" s="38">
        <f>IF(OR(P99="",Z99=""),"",IFERROR(ROUND(440*2^((12*(Z99+1)+IFERROR(MATCH(U99,{"C","C#","D","D#","E","F","F#","G","G#","A","A#","B"},0)-1,MATCH(U99,{"C","Db","D","Eb","E","F","Gb","G","Ab","A","Bb","B"},0)-1)-69)/12),2),""))</f>
        <v/>
      </c>
      <c r="AF99" s="38">
        <f>IF(OR(Q99="",AA99=""),"",IFERROR(ROUND(440*2^((12*(AA99+1)+IFERROR(MATCH(V99,{"C","C#","D","D#","E","F","F#","G","G#","A","A#","B"},0)-1,MATCH(V99,{"C","Db","D","Eb","E","F","Gb","G","Ab","A","Bb","B"},0)-1)-69)/12),2),""))</f>
        <v/>
      </c>
      <c r="AG99" s="36" t="n"/>
      <c r="AH99" s="36" t="n"/>
      <c r="AI99" s="36" t="n"/>
      <c r="AJ99" s="36" t="inlineStr">
        <is>
          <t>Low</t>
        </is>
      </c>
      <c r="AK99" s="36" t="inlineStr">
        <is>
          <t>Low</t>
        </is>
      </c>
      <c r="AL99" s="35" t="n"/>
    </row>
    <row r="100">
      <c r="A100" s="35" t="inlineStr">
        <is>
          <t>TEST_010</t>
        </is>
      </c>
      <c r="B100" s="35" t="n">
        <v>8</v>
      </c>
      <c r="C100" s="36" t="n"/>
      <c r="D100" s="36" t="n"/>
      <c r="E100" s="36" t="n"/>
      <c r="F100" s="36" t="n">
        <v>15.11</v>
      </c>
      <c r="G100" s="36" t="n">
        <v>10.18</v>
      </c>
      <c r="H100" s="36" t="n"/>
      <c r="I100" s="36" t="n"/>
      <c r="J100" s="36" t="n"/>
      <c r="K100" s="36" t="n">
        <v>15.31</v>
      </c>
      <c r="L100" s="36" t="n">
        <v>10.36</v>
      </c>
      <c r="M100" s="36" t="n"/>
      <c r="N100" s="36" t="n"/>
      <c r="O100" s="36" t="n"/>
      <c r="P100" s="36" t="inlineStr">
        <is>
          <t>B4</t>
        </is>
      </c>
      <c r="Q100" s="36" t="inlineStr">
        <is>
          <t>G#3</t>
        </is>
      </c>
      <c r="R100" s="38">
        <f>IF(M100="","",LEFT(M100,LEN(M100)-1))</f>
        <v/>
      </c>
      <c r="S100" s="38">
        <f>IF(N100="","",LEFT(N100,LEN(N100)-1))</f>
        <v/>
      </c>
      <c r="T100" s="38">
        <f>IF(O100="","",LEFT(O100,LEN(O100)-1))</f>
        <v/>
      </c>
      <c r="U100" s="38">
        <f>IF(P100="","",LEFT(P100,LEN(P100)-1))</f>
        <v/>
      </c>
      <c r="V100" s="38">
        <f>IF(Q100="","",LEFT(Q100,LEN(Q100)-1))</f>
        <v/>
      </c>
      <c r="W100" s="38">
        <f>IF(M100="","",IFERROR(VALUE(RIGHT(M100,1)),""))</f>
        <v/>
      </c>
      <c r="X100" s="38">
        <f>IF(N100="","",IFERROR(VALUE(RIGHT(N100,1)),""))</f>
        <v/>
      </c>
      <c r="Y100" s="38">
        <f>IF(O100="","",IFERROR(VALUE(RIGHT(O100,1)),""))</f>
        <v/>
      </c>
      <c r="Z100" s="38">
        <f>IF(P100="","",IFERROR(VALUE(RIGHT(P100,1)),""))</f>
        <v/>
      </c>
      <c r="AA100" s="38">
        <f>IF(Q100="","",IFERROR(VALUE(RIGHT(Q100,1)),""))</f>
        <v/>
      </c>
      <c r="AB100" s="38">
        <f>IF(OR(M100="",W100=""),"",IFERROR(ROUND(440*2^((12*(W100+1)+IFERROR(MATCH(R100,{"C","C#","D","D#","E","F","F#","G","G#","A","A#","B"},0)-1,MATCH(R100,{"C","Db","D","Eb","E","F","Gb","G","Ab","A","Bb","B"},0)-1)-69)/12),2),""))</f>
        <v/>
      </c>
      <c r="AC100" s="38">
        <f>IF(OR(N100="",X100=""),"",IFERROR(ROUND(440*2^((12*(X100+1)+IFERROR(MATCH(S100,{"C","C#","D","D#","E","F","F#","G","G#","A","A#","B"},0)-1,MATCH(S100,{"C","Db","D","Eb","E","F","Gb","G","Ab","A","Bb","B"},0)-1)-69)/12),2),""))</f>
        <v/>
      </c>
      <c r="AD100" s="38">
        <f>IF(OR(O100="",Y100=""),"",IFERROR(ROUND(440*2^((12*(Y100+1)+IFERROR(MATCH(T100,{"C","C#","D","D#","E","F","F#","G","G#","A","A#","B"},0)-1,MATCH(T100,{"C","Db","D","Eb","E","F","Gb","G","Ab","A","Bb","B"},0)-1)-69)/12),2),""))</f>
        <v/>
      </c>
      <c r="AE100" s="38">
        <f>IF(OR(P100="",Z100=""),"",IFERROR(ROUND(440*2^((12*(Z100+1)+IFERROR(MATCH(U100,{"C","C#","D","D#","E","F","F#","G","G#","A","A#","B"},0)-1,MATCH(U100,{"C","Db","D","Eb","E","F","Gb","G","Ab","A","Bb","B"},0)-1)-69)/12),2),""))</f>
        <v/>
      </c>
      <c r="AF100" s="38">
        <f>IF(OR(Q100="",AA100=""),"",IFERROR(ROUND(440*2^((12*(AA100+1)+IFERROR(MATCH(V100,{"C","C#","D","D#","E","F","F#","G","G#","A","A#","B"},0)-1,MATCH(V100,{"C","Db","D","Eb","E","F","Gb","G","Ab","A","Bb","B"},0)-1)-69)/12),2),""))</f>
        <v/>
      </c>
      <c r="AG100" s="36" t="n"/>
      <c r="AH100" s="36" t="n"/>
      <c r="AI100" s="36" t="n"/>
      <c r="AJ100" s="36" t="inlineStr">
        <is>
          <t>Low</t>
        </is>
      </c>
      <c r="AK100" s="36" t="inlineStr">
        <is>
          <t>Low</t>
        </is>
      </c>
      <c r="AL100" s="35" t="n"/>
    </row>
    <row r="101">
      <c r="A101" s="35" t="inlineStr">
        <is>
          <t>TEST_010</t>
        </is>
      </c>
      <c r="B101" s="35" t="n">
        <v>9</v>
      </c>
      <c r="C101" s="36" t="n"/>
      <c r="D101" s="36" t="n"/>
      <c r="E101" s="36" t="n"/>
      <c r="F101" s="36" t="n">
        <v>15.41</v>
      </c>
      <c r="G101" s="36" t="n">
        <v>15.87</v>
      </c>
      <c r="H101" s="36" t="n"/>
      <c r="I101" s="36" t="n"/>
      <c r="J101" s="36" t="n"/>
      <c r="K101" s="36" t="n">
        <v>15.7</v>
      </c>
      <c r="L101" s="36" t="n">
        <v>16.03</v>
      </c>
      <c r="M101" s="36" t="n"/>
      <c r="N101" s="36" t="n"/>
      <c r="O101" s="36" t="n"/>
      <c r="P101" s="36" t="inlineStr">
        <is>
          <t>F#4</t>
        </is>
      </c>
      <c r="Q101" s="36" t="inlineStr">
        <is>
          <t>A4</t>
        </is>
      </c>
      <c r="R101" s="38">
        <f>IF(M101="","",LEFT(M101,LEN(M101)-1))</f>
        <v/>
      </c>
      <c r="S101" s="38">
        <f>IF(N101="","",LEFT(N101,LEN(N101)-1))</f>
        <v/>
      </c>
      <c r="T101" s="38">
        <f>IF(O101="","",LEFT(O101,LEN(O101)-1))</f>
        <v/>
      </c>
      <c r="U101" s="38">
        <f>IF(P101="","",LEFT(P101,LEN(P101)-1))</f>
        <v/>
      </c>
      <c r="V101" s="38">
        <f>IF(Q101="","",LEFT(Q101,LEN(Q101)-1))</f>
        <v/>
      </c>
      <c r="W101" s="38">
        <f>IF(M101="","",IFERROR(VALUE(RIGHT(M101,1)),""))</f>
        <v/>
      </c>
      <c r="X101" s="38">
        <f>IF(N101="","",IFERROR(VALUE(RIGHT(N101,1)),""))</f>
        <v/>
      </c>
      <c r="Y101" s="38">
        <f>IF(O101="","",IFERROR(VALUE(RIGHT(O101,1)),""))</f>
        <v/>
      </c>
      <c r="Z101" s="38">
        <f>IF(P101="","",IFERROR(VALUE(RIGHT(P101,1)),""))</f>
        <v/>
      </c>
      <c r="AA101" s="38">
        <f>IF(Q101="","",IFERROR(VALUE(RIGHT(Q101,1)),""))</f>
        <v/>
      </c>
      <c r="AB101" s="38">
        <f>IF(OR(M101="",W101=""),"",IFERROR(ROUND(440*2^((12*(W101+1)+IFERROR(MATCH(R101,{"C","C#","D","D#","E","F","F#","G","G#","A","A#","B"},0)-1,MATCH(R101,{"C","Db","D","Eb","E","F","Gb","G","Ab","A","Bb","B"},0)-1)-69)/12),2),""))</f>
        <v/>
      </c>
      <c r="AC101" s="38">
        <f>IF(OR(N101="",X101=""),"",IFERROR(ROUND(440*2^((12*(X101+1)+IFERROR(MATCH(S101,{"C","C#","D","D#","E","F","F#","G","G#","A","A#","B"},0)-1,MATCH(S101,{"C","Db","D","Eb","E","F","Gb","G","Ab","A","Bb","B"},0)-1)-69)/12),2),""))</f>
        <v/>
      </c>
      <c r="AD101" s="38">
        <f>IF(OR(O101="",Y101=""),"",IFERROR(ROUND(440*2^((12*(Y101+1)+IFERROR(MATCH(T101,{"C","C#","D","D#","E","F","F#","G","G#","A","A#","B"},0)-1,MATCH(T101,{"C","Db","D","Eb","E","F","Gb","G","Ab","A","Bb","B"},0)-1)-69)/12),2),""))</f>
        <v/>
      </c>
      <c r="AE101" s="38">
        <f>IF(OR(P101="",Z101=""),"",IFERROR(ROUND(440*2^((12*(Z101+1)+IFERROR(MATCH(U101,{"C","C#","D","D#","E","F","F#","G","G#","A","A#","B"},0)-1,MATCH(U101,{"C","Db","D","Eb","E","F","Gb","G","Ab","A","Bb","B"},0)-1)-69)/12),2),""))</f>
        <v/>
      </c>
      <c r="AF101" s="38">
        <f>IF(OR(Q101="",AA101=""),"",IFERROR(ROUND(440*2^((12*(AA101+1)+IFERROR(MATCH(V101,{"C","C#","D","D#","E","F","F#","G","G#","A","A#","B"},0)-1,MATCH(V101,{"C","Db","D","Eb","E","F","Gb","G","Ab","A","Bb","B"},0)-1)-69)/12),2),""))</f>
        <v/>
      </c>
      <c r="AG101" s="36" t="n"/>
      <c r="AH101" s="36" t="n"/>
      <c r="AI101" s="36" t="n"/>
      <c r="AJ101" s="36" t="inlineStr">
        <is>
          <t>Low</t>
        </is>
      </c>
      <c r="AK101" s="36" t="inlineStr">
        <is>
          <t>Medium</t>
        </is>
      </c>
      <c r="AL101" s="35" t="n"/>
    </row>
    <row r="102">
      <c r="A102" s="35" t="inlineStr">
        <is>
          <t>TEST_010</t>
        </is>
      </c>
      <c r="B102" s="35" t="n">
        <v>10</v>
      </c>
      <c r="C102" s="36" t="n"/>
      <c r="D102" s="36" t="n"/>
      <c r="E102" s="36" t="n"/>
      <c r="F102" s="36" t="n">
        <v>15.9</v>
      </c>
      <c r="G102" s="36" t="n">
        <v>16.15</v>
      </c>
      <c r="H102" s="36" t="n"/>
      <c r="I102" s="36" t="n"/>
      <c r="J102" s="36" t="n"/>
      <c r="K102" s="36" t="n">
        <v>16.06</v>
      </c>
      <c r="L102" s="36" t="n">
        <v>16.38</v>
      </c>
      <c r="M102" s="36" t="n"/>
      <c r="N102" s="36" t="n"/>
      <c r="O102" s="36" t="n"/>
      <c r="P102" s="36" t="inlineStr">
        <is>
          <t>A4</t>
        </is>
      </c>
      <c r="Q102" s="36" t="inlineStr">
        <is>
          <t>A#2</t>
        </is>
      </c>
      <c r="R102" s="38">
        <f>IF(M102="","",LEFT(M102,LEN(M102)-1))</f>
        <v/>
      </c>
      <c r="S102" s="38">
        <f>IF(N102="","",LEFT(N102,LEN(N102)-1))</f>
        <v/>
      </c>
      <c r="T102" s="38">
        <f>IF(O102="","",LEFT(O102,LEN(O102)-1))</f>
        <v/>
      </c>
      <c r="U102" s="38">
        <f>IF(P102="","",LEFT(P102,LEN(P102)-1))</f>
        <v/>
      </c>
      <c r="V102" s="38">
        <f>IF(Q102="","",LEFT(Q102,LEN(Q102)-1))</f>
        <v/>
      </c>
      <c r="W102" s="38">
        <f>IF(M102="","",IFERROR(VALUE(RIGHT(M102,1)),""))</f>
        <v/>
      </c>
      <c r="X102" s="38">
        <f>IF(N102="","",IFERROR(VALUE(RIGHT(N102,1)),""))</f>
        <v/>
      </c>
      <c r="Y102" s="38">
        <f>IF(O102="","",IFERROR(VALUE(RIGHT(O102,1)),""))</f>
        <v/>
      </c>
      <c r="Z102" s="38">
        <f>IF(P102="","",IFERROR(VALUE(RIGHT(P102,1)),""))</f>
        <v/>
      </c>
      <c r="AA102" s="38">
        <f>IF(Q102="","",IFERROR(VALUE(RIGHT(Q102,1)),""))</f>
        <v/>
      </c>
      <c r="AB102" s="38">
        <f>IF(OR(M102="",W102=""),"",IFERROR(ROUND(440*2^((12*(W102+1)+IFERROR(MATCH(R102,{"C","C#","D","D#","E","F","F#","G","G#","A","A#","B"},0)-1,MATCH(R102,{"C","Db","D","Eb","E","F","Gb","G","Ab","A","Bb","B"},0)-1)-69)/12),2),""))</f>
        <v/>
      </c>
      <c r="AC102" s="38">
        <f>IF(OR(N102="",X102=""),"",IFERROR(ROUND(440*2^((12*(X102+1)+IFERROR(MATCH(S102,{"C","C#","D","D#","E","F","F#","G","G#","A","A#","B"},0)-1,MATCH(S102,{"C","Db","D","Eb","E","F","Gb","G","Ab","A","Bb","B"},0)-1)-69)/12),2),""))</f>
        <v/>
      </c>
      <c r="AD102" s="38">
        <f>IF(OR(O102="",Y102=""),"",IFERROR(ROUND(440*2^((12*(Y102+1)+IFERROR(MATCH(T102,{"C","C#","D","D#","E","F","F#","G","G#","A","A#","B"},0)-1,MATCH(T102,{"C","Db","D","Eb","E","F","Gb","G","Ab","A","Bb","B"},0)-1)-69)/12),2),""))</f>
        <v/>
      </c>
      <c r="AE102" s="38">
        <f>IF(OR(P102="",Z102=""),"",IFERROR(ROUND(440*2^((12*(Z102+1)+IFERROR(MATCH(U102,{"C","C#","D","D#","E","F","F#","G","G#","A","A#","B"},0)-1,MATCH(U102,{"C","Db","D","Eb","E","F","Gb","G","Ab","A","Bb","B"},0)-1)-69)/12),2),""))</f>
        <v/>
      </c>
      <c r="AF102" s="38">
        <f>IF(OR(Q102="",AA102=""),"",IFERROR(ROUND(440*2^((12*(AA102+1)+IFERROR(MATCH(V102,{"C","C#","D","D#","E","F","F#","G","G#","A","A#","B"},0)-1,MATCH(V102,{"C","Db","D","Eb","E","F","Gb","G","Ab","A","Bb","B"},0)-1)-69)/12),2),""))</f>
        <v/>
      </c>
      <c r="AG102" s="36" t="n"/>
      <c r="AH102" s="36" t="n"/>
      <c r="AI102" s="36" t="n"/>
      <c r="AJ102" s="36" t="inlineStr">
        <is>
          <t>Low</t>
        </is>
      </c>
      <c r="AK102" s="36" t="inlineStr">
        <is>
          <t>Low</t>
        </is>
      </c>
      <c r="AL102" s="35" t="n"/>
    </row>
    <row r="103">
      <c r="A103" s="35" t="inlineStr">
        <is>
          <t>TEST_011</t>
        </is>
      </c>
      <c r="B103" s="35" t="n">
        <v>1</v>
      </c>
      <c r="C103" s="36" t="n"/>
      <c r="D103" s="36" t="n"/>
      <c r="E103" s="36" t="n"/>
      <c r="F103" s="36" t="n">
        <v>2.26</v>
      </c>
      <c r="G103" s="36" t="n">
        <v>1.63</v>
      </c>
      <c r="H103" s="36" t="n"/>
      <c r="I103" s="36" t="n"/>
      <c r="J103" s="36" t="n"/>
      <c r="K103" s="36" t="n">
        <v>2.44</v>
      </c>
      <c r="L103" s="36" t="n">
        <v>1.97</v>
      </c>
      <c r="M103" s="36" t="n"/>
      <c r="N103" s="36" t="inlineStr">
        <is>
          <t>N/A</t>
        </is>
      </c>
      <c r="O103" s="36" t="inlineStr">
        <is>
          <t>N/A</t>
        </is>
      </c>
      <c r="P103" s="36" t="inlineStr">
        <is>
          <t>G4</t>
        </is>
      </c>
      <c r="Q103" s="36" t="inlineStr">
        <is>
          <t>E4</t>
        </is>
      </c>
      <c r="R103" s="38">
        <f>IF(M103="","",LEFT(M103,LEN(M103)-1))</f>
        <v/>
      </c>
      <c r="S103" s="38">
        <f>IF(N103="","",LEFT(N103,LEN(N103)-1))</f>
        <v/>
      </c>
      <c r="T103" s="38">
        <f>IF(O103="","",LEFT(O103,LEN(O103)-1))</f>
        <v/>
      </c>
      <c r="U103" s="38">
        <f>IF(P103="","",LEFT(P103,LEN(P103)-1))</f>
        <v/>
      </c>
      <c r="V103" s="38">
        <f>IF(Q103="","",LEFT(Q103,LEN(Q103)-1))</f>
        <v/>
      </c>
      <c r="W103" s="38">
        <f>IF(M103="","",IFERROR(VALUE(RIGHT(M103,1)),""))</f>
        <v/>
      </c>
      <c r="X103" s="38">
        <f>IF(N103="","",IFERROR(VALUE(RIGHT(N103,1)),""))</f>
        <v/>
      </c>
      <c r="Y103" s="38">
        <f>IF(O103="","",IFERROR(VALUE(RIGHT(O103,1)),""))</f>
        <v/>
      </c>
      <c r="Z103" s="38">
        <f>IF(P103="","",IFERROR(VALUE(RIGHT(P103,1)),""))</f>
        <v/>
      </c>
      <c r="AA103" s="38">
        <f>IF(Q103="","",IFERROR(VALUE(RIGHT(Q103,1)),""))</f>
        <v/>
      </c>
      <c r="AB103" s="38">
        <f>IF(OR(M103="",W103=""),"",IFERROR(ROUND(440*2^((12*(W103+1)+IFERROR(MATCH(R103,{"C","C#","D","D#","E","F","F#","G","G#","A","A#","B"},0)-1,MATCH(R103,{"C","Db","D","Eb","E","F","Gb","G","Ab","A","Bb","B"},0)-1)-69)/12),2),""))</f>
        <v/>
      </c>
      <c r="AC103" s="38">
        <f>IF(OR(N103="",X103=""),"",IFERROR(ROUND(440*2^((12*(X103+1)+IFERROR(MATCH(S103,{"C","C#","D","D#","E","F","F#","G","G#","A","A#","B"},0)-1,MATCH(S103,{"C","Db","D","Eb","E","F","Gb","G","Ab","A","Bb","B"},0)-1)-69)/12),2),""))</f>
        <v/>
      </c>
      <c r="AD103" s="38">
        <f>IF(OR(O103="",Y103=""),"",IFERROR(ROUND(440*2^((12*(Y103+1)+IFERROR(MATCH(T103,{"C","C#","D","D#","E","F","F#","G","G#","A","A#","B"},0)-1,MATCH(T103,{"C","Db","D","Eb","E","F","Gb","G","Ab","A","Bb","B"},0)-1)-69)/12),2),""))</f>
        <v/>
      </c>
      <c r="AE103" s="38">
        <f>IF(OR(P103="",Z103=""),"",IFERROR(ROUND(440*2^((12*(Z103+1)+IFERROR(MATCH(U103,{"C","C#","D","D#","E","F","F#","G","G#","A","A#","B"},0)-1,MATCH(U103,{"C","Db","D","Eb","E","F","Gb","G","Ab","A","Bb","B"},0)-1)-69)/12),2),""))</f>
        <v/>
      </c>
      <c r="AF103" s="38">
        <f>IF(OR(Q103="",AA103=""),"",IFERROR(ROUND(440*2^((12*(AA103+1)+IFERROR(MATCH(V103,{"C","C#","D","D#","E","F","F#","G","G#","A","A#","B"},0)-1,MATCH(V103,{"C","Db","D","Eb","E","F","Gb","G","Ab","A","Bb","B"},0)-1)-69)/12),2),""))</f>
        <v/>
      </c>
      <c r="AG103" s="36" t="n"/>
      <c r="AH103" s="36" t="n"/>
      <c r="AI103" s="36" t="n"/>
      <c r="AJ103" s="36" t="inlineStr">
        <is>
          <t>Low</t>
        </is>
      </c>
      <c r="AK103" s="36" t="inlineStr">
        <is>
          <t>Medium</t>
        </is>
      </c>
      <c r="AL10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04">
      <c r="A104" s="35" t="inlineStr">
        <is>
          <t>TEST_011</t>
        </is>
      </c>
      <c r="B104" s="35" t="n">
        <v>2</v>
      </c>
      <c r="C104" s="36" t="n"/>
      <c r="D104" s="36" t="n"/>
      <c r="E104" s="36" t="n"/>
      <c r="F104" s="36" t="n">
        <v>2.58</v>
      </c>
      <c r="G104" s="36" t="n">
        <v>2</v>
      </c>
      <c r="H104" s="36" t="n"/>
      <c r="I104" s="36" t="n"/>
      <c r="J104" s="36" t="n"/>
      <c r="K104" s="36" t="n">
        <v>2.78</v>
      </c>
      <c r="L104" s="36" t="n">
        <v>2.16</v>
      </c>
      <c r="M104" s="36" t="n"/>
      <c r="N104" s="36" t="n"/>
      <c r="O104" s="36" t="n"/>
      <c r="P104" s="36" t="inlineStr">
        <is>
          <t>E4</t>
        </is>
      </c>
      <c r="Q104" s="36" t="inlineStr">
        <is>
          <t>F#4</t>
        </is>
      </c>
      <c r="R104" s="38">
        <f>IF(M104="","",LEFT(M104,LEN(M104)-1))</f>
        <v/>
      </c>
      <c r="S104" s="38">
        <f>IF(N104="","",LEFT(N104,LEN(N104)-1))</f>
        <v/>
      </c>
      <c r="T104" s="38">
        <f>IF(O104="","",LEFT(O104,LEN(O104)-1))</f>
        <v/>
      </c>
      <c r="U104" s="38">
        <f>IF(P104="","",LEFT(P104,LEN(P104)-1))</f>
        <v/>
      </c>
      <c r="V104" s="38">
        <f>IF(Q104="","",LEFT(Q104,LEN(Q104)-1))</f>
        <v/>
      </c>
      <c r="W104" s="38">
        <f>IF(M104="","",IFERROR(VALUE(RIGHT(M104,1)),""))</f>
        <v/>
      </c>
      <c r="X104" s="38">
        <f>IF(N104="","",IFERROR(VALUE(RIGHT(N104,1)),""))</f>
        <v/>
      </c>
      <c r="Y104" s="38">
        <f>IF(O104="","",IFERROR(VALUE(RIGHT(O104,1)),""))</f>
        <v/>
      </c>
      <c r="Z104" s="38">
        <f>IF(P104="","",IFERROR(VALUE(RIGHT(P104,1)),""))</f>
        <v/>
      </c>
      <c r="AA104" s="38">
        <f>IF(Q104="","",IFERROR(VALUE(RIGHT(Q104,1)),""))</f>
        <v/>
      </c>
      <c r="AB104" s="38">
        <f>IF(OR(M104="",W104=""),"",IFERROR(ROUND(440*2^((12*(W104+1)+IFERROR(MATCH(R104,{"C","C#","D","D#","E","F","F#","G","G#","A","A#","B"},0)-1,MATCH(R104,{"C","Db","D","Eb","E","F","Gb","G","Ab","A","Bb","B"},0)-1)-69)/12),2),""))</f>
        <v/>
      </c>
      <c r="AC104" s="38">
        <f>IF(OR(N104="",X104=""),"",IFERROR(ROUND(440*2^((12*(X104+1)+IFERROR(MATCH(S104,{"C","C#","D","D#","E","F","F#","G","G#","A","A#","B"},0)-1,MATCH(S104,{"C","Db","D","Eb","E","F","Gb","G","Ab","A","Bb","B"},0)-1)-69)/12),2),""))</f>
        <v/>
      </c>
      <c r="AD104" s="38">
        <f>IF(OR(O104="",Y104=""),"",IFERROR(ROUND(440*2^((12*(Y104+1)+IFERROR(MATCH(T104,{"C","C#","D","D#","E","F","F#","G","G#","A","A#","B"},0)-1,MATCH(T104,{"C","Db","D","Eb","E","F","Gb","G","Ab","A","Bb","B"},0)-1)-69)/12),2),""))</f>
        <v/>
      </c>
      <c r="AE104" s="38">
        <f>IF(OR(P104="",Z104=""),"",IFERROR(ROUND(440*2^((12*(Z104+1)+IFERROR(MATCH(U104,{"C","C#","D","D#","E","F","F#","G","G#","A","A#","B"},0)-1,MATCH(U104,{"C","Db","D","Eb","E","F","Gb","G","Ab","A","Bb","B"},0)-1)-69)/12),2),""))</f>
        <v/>
      </c>
      <c r="AF104" s="38">
        <f>IF(OR(Q104="",AA104=""),"",IFERROR(ROUND(440*2^((12*(AA104+1)+IFERROR(MATCH(V104,{"C","C#","D","D#","E","F","F#","G","G#","A","A#","B"},0)-1,MATCH(V104,{"C","Db","D","Eb","E","F","Gb","G","Ab","A","Bb","B"},0)-1)-69)/12),2),""))</f>
        <v/>
      </c>
      <c r="AG104" s="36" t="n"/>
      <c r="AH104" s="36" t="n"/>
      <c r="AI104" s="36" t="n"/>
      <c r="AJ104" s="36" t="inlineStr">
        <is>
          <t>Low</t>
        </is>
      </c>
      <c r="AK104" s="36" t="inlineStr">
        <is>
          <t>Medium</t>
        </is>
      </c>
      <c r="AL104" s="35" t="n"/>
    </row>
    <row r="105">
      <c r="A105" s="35" t="inlineStr">
        <is>
          <t>TEST_011</t>
        </is>
      </c>
      <c r="B105" s="35" t="n">
        <v>3</v>
      </c>
      <c r="C105" s="36" t="n"/>
      <c r="D105" s="36" t="n"/>
      <c r="E105" s="36" t="n"/>
      <c r="F105" s="36" t="n">
        <v>2.97</v>
      </c>
      <c r="G105" s="36" t="n">
        <v>2.25</v>
      </c>
      <c r="H105" s="36" t="n"/>
      <c r="I105" s="36" t="n"/>
      <c r="J105" s="36" t="n"/>
      <c r="K105" s="36" t="n">
        <v>3.12</v>
      </c>
      <c r="L105" s="36" t="n">
        <v>2.47</v>
      </c>
      <c r="M105" s="36" t="n"/>
      <c r="N105" s="36" t="n"/>
      <c r="O105" s="36" t="n"/>
      <c r="P105" s="36" t="inlineStr">
        <is>
          <t>F#4</t>
        </is>
      </c>
      <c r="Q105" s="36" t="inlineStr">
        <is>
          <t>G4</t>
        </is>
      </c>
      <c r="R105" s="38">
        <f>IF(M105="","",LEFT(M105,LEN(M105)-1))</f>
        <v/>
      </c>
      <c r="S105" s="38">
        <f>IF(N105="","",LEFT(N105,LEN(N105)-1))</f>
        <v/>
      </c>
      <c r="T105" s="38">
        <f>IF(O105="","",LEFT(O105,LEN(O105)-1))</f>
        <v/>
      </c>
      <c r="U105" s="38">
        <f>IF(P105="","",LEFT(P105,LEN(P105)-1))</f>
        <v/>
      </c>
      <c r="V105" s="38">
        <f>IF(Q105="","",LEFT(Q105,LEN(Q105)-1))</f>
        <v/>
      </c>
      <c r="W105" s="38">
        <f>IF(M105="","",IFERROR(VALUE(RIGHT(M105,1)),""))</f>
        <v/>
      </c>
      <c r="X105" s="38">
        <f>IF(N105="","",IFERROR(VALUE(RIGHT(N105,1)),""))</f>
        <v/>
      </c>
      <c r="Y105" s="38">
        <f>IF(O105="","",IFERROR(VALUE(RIGHT(O105,1)),""))</f>
        <v/>
      </c>
      <c r="Z105" s="38">
        <f>IF(P105="","",IFERROR(VALUE(RIGHT(P105,1)),""))</f>
        <v/>
      </c>
      <c r="AA105" s="38">
        <f>IF(Q105="","",IFERROR(VALUE(RIGHT(Q105,1)),""))</f>
        <v/>
      </c>
      <c r="AB105" s="38">
        <f>IF(OR(M105="",W105=""),"",IFERROR(ROUND(440*2^((12*(W105+1)+IFERROR(MATCH(R105,{"C","C#","D","D#","E","F","F#","G","G#","A","A#","B"},0)-1,MATCH(R105,{"C","Db","D","Eb","E","F","Gb","G","Ab","A","Bb","B"},0)-1)-69)/12),2),""))</f>
        <v/>
      </c>
      <c r="AC105" s="38">
        <f>IF(OR(N105="",X105=""),"",IFERROR(ROUND(440*2^((12*(X105+1)+IFERROR(MATCH(S105,{"C","C#","D","D#","E","F","F#","G","G#","A","A#","B"},0)-1,MATCH(S105,{"C","Db","D","Eb","E","F","Gb","G","Ab","A","Bb","B"},0)-1)-69)/12),2),""))</f>
        <v/>
      </c>
      <c r="AD105" s="38">
        <f>IF(OR(O105="",Y105=""),"",IFERROR(ROUND(440*2^((12*(Y105+1)+IFERROR(MATCH(T105,{"C","C#","D","D#","E","F","F#","G","G#","A","A#","B"},0)-1,MATCH(T105,{"C","Db","D","Eb","E","F","Gb","G","Ab","A","Bb","B"},0)-1)-69)/12),2),""))</f>
        <v/>
      </c>
      <c r="AE105" s="38">
        <f>IF(OR(P105="",Z105=""),"",IFERROR(ROUND(440*2^((12*(Z105+1)+IFERROR(MATCH(U105,{"C","C#","D","D#","E","F","F#","G","G#","A","A#","B"},0)-1,MATCH(U105,{"C","Db","D","Eb","E","F","Gb","G","Ab","A","Bb","B"},0)-1)-69)/12),2),""))</f>
        <v/>
      </c>
      <c r="AF105" s="38">
        <f>IF(OR(Q105="",AA105=""),"",IFERROR(ROUND(440*2^((12*(AA105+1)+IFERROR(MATCH(V105,{"C","C#","D","D#","E","F","F#","G","G#","A","A#","B"},0)-1,MATCH(V105,{"C","Db","D","Eb","E","F","Gb","G","Ab","A","Bb","B"},0)-1)-69)/12),2),""))</f>
        <v/>
      </c>
      <c r="AG105" s="36" t="n"/>
      <c r="AH105" s="36" t="n"/>
      <c r="AI105" s="36" t="n"/>
      <c r="AJ105" s="36" t="inlineStr">
        <is>
          <t>Low</t>
        </is>
      </c>
      <c r="AK105" s="36" t="inlineStr">
        <is>
          <t>Medium</t>
        </is>
      </c>
      <c r="AL105" s="35" t="n"/>
    </row>
    <row r="106">
      <c r="A106" s="35" t="inlineStr">
        <is>
          <t>TEST_011</t>
        </is>
      </c>
      <c r="B106" s="35" t="n">
        <v>4</v>
      </c>
      <c r="C106" s="36" t="n"/>
      <c r="D106" s="36" t="n"/>
      <c r="E106" s="36" t="n"/>
      <c r="F106" s="36" t="n">
        <v>3.23</v>
      </c>
      <c r="G106" s="36" t="n">
        <v>3.22</v>
      </c>
      <c r="H106" s="36" t="n"/>
      <c r="I106" s="36" t="n"/>
      <c r="J106" s="36" t="n"/>
      <c r="K106" s="36" t="n">
        <v>3.44</v>
      </c>
      <c r="L106" s="36" t="n">
        <v>3.44</v>
      </c>
      <c r="M106" s="36" t="n"/>
      <c r="N106" s="36" t="n"/>
      <c r="O106" s="36" t="n"/>
      <c r="P106" s="36" t="inlineStr">
        <is>
          <t>G4</t>
        </is>
      </c>
      <c r="Q106" s="36" t="inlineStr">
        <is>
          <t>G4</t>
        </is>
      </c>
      <c r="R106" s="38">
        <f>IF(M106="","",LEFT(M106,LEN(M106)-1))</f>
        <v/>
      </c>
      <c r="S106" s="38">
        <f>IF(N106="","",LEFT(N106,LEN(N106)-1))</f>
        <v/>
      </c>
      <c r="T106" s="38">
        <f>IF(O106="","",LEFT(O106,LEN(O106)-1))</f>
        <v/>
      </c>
      <c r="U106" s="38">
        <f>IF(P106="","",LEFT(P106,LEN(P106)-1))</f>
        <v/>
      </c>
      <c r="V106" s="38">
        <f>IF(Q106="","",LEFT(Q106,LEN(Q106)-1))</f>
        <v/>
      </c>
      <c r="W106" s="38">
        <f>IF(M106="","",IFERROR(VALUE(RIGHT(M106,1)),""))</f>
        <v/>
      </c>
      <c r="X106" s="38">
        <f>IF(N106="","",IFERROR(VALUE(RIGHT(N106,1)),""))</f>
        <v/>
      </c>
      <c r="Y106" s="38">
        <f>IF(O106="","",IFERROR(VALUE(RIGHT(O106,1)),""))</f>
        <v/>
      </c>
      <c r="Z106" s="38">
        <f>IF(P106="","",IFERROR(VALUE(RIGHT(P106,1)),""))</f>
        <v/>
      </c>
      <c r="AA106" s="38">
        <f>IF(Q106="","",IFERROR(VALUE(RIGHT(Q106,1)),""))</f>
        <v/>
      </c>
      <c r="AB106" s="38">
        <f>IF(OR(M106="",W106=""),"",IFERROR(ROUND(440*2^((12*(W106+1)+IFERROR(MATCH(R106,{"C","C#","D","D#","E","F","F#","G","G#","A","A#","B"},0)-1,MATCH(R106,{"C","Db","D","Eb","E","F","Gb","G","Ab","A","Bb","B"},0)-1)-69)/12),2),""))</f>
        <v/>
      </c>
      <c r="AC106" s="38">
        <f>IF(OR(N106="",X106=""),"",IFERROR(ROUND(440*2^((12*(X106+1)+IFERROR(MATCH(S106,{"C","C#","D","D#","E","F","F#","G","G#","A","A#","B"},0)-1,MATCH(S106,{"C","Db","D","Eb","E","F","Gb","G","Ab","A","Bb","B"},0)-1)-69)/12),2),""))</f>
        <v/>
      </c>
      <c r="AD106" s="38">
        <f>IF(OR(O106="",Y106=""),"",IFERROR(ROUND(440*2^((12*(Y106+1)+IFERROR(MATCH(T106,{"C","C#","D","D#","E","F","F#","G","G#","A","A#","B"},0)-1,MATCH(T106,{"C","Db","D","Eb","E","F","Gb","G","Ab","A","Bb","B"},0)-1)-69)/12),2),""))</f>
        <v/>
      </c>
      <c r="AE106" s="38">
        <f>IF(OR(P106="",Z106=""),"",IFERROR(ROUND(440*2^((12*(Z106+1)+IFERROR(MATCH(U106,{"C","C#","D","D#","E","F","F#","G","G#","A","A#","B"},0)-1,MATCH(U106,{"C","Db","D","Eb","E","F","Gb","G","Ab","A","Bb","B"},0)-1)-69)/12),2),""))</f>
        <v/>
      </c>
      <c r="AF106" s="38">
        <f>IF(OR(Q106="",AA106=""),"",IFERROR(ROUND(440*2^((12*(AA106+1)+IFERROR(MATCH(V106,{"C","C#","D","D#","E","F","F#","G","G#","A","A#","B"},0)-1,MATCH(V106,{"C","Db","D","Eb","E","F","Gb","G","Ab","A","Bb","B"},0)-1)-69)/12),2),""))</f>
        <v/>
      </c>
      <c r="AG106" s="36" t="n"/>
      <c r="AH106" s="36" t="n"/>
      <c r="AI106" s="36" t="n"/>
      <c r="AJ106" s="36" t="inlineStr">
        <is>
          <t>Low</t>
        </is>
      </c>
      <c r="AK106" s="36" t="inlineStr">
        <is>
          <t>Low</t>
        </is>
      </c>
      <c r="AL106" s="35" t="n"/>
    </row>
    <row r="107">
      <c r="A107" s="35" t="inlineStr">
        <is>
          <t>TEST_011</t>
        </is>
      </c>
      <c r="B107" s="35" t="n">
        <v>5</v>
      </c>
      <c r="C107" s="36" t="n"/>
      <c r="D107" s="36" t="n"/>
      <c r="E107" s="36" t="n"/>
      <c r="F107" s="36" t="n">
        <v>3.54</v>
      </c>
      <c r="G107" s="36" t="n">
        <v>3.49</v>
      </c>
      <c r="H107" s="36" t="n"/>
      <c r="I107" s="36" t="n"/>
      <c r="J107" s="36" t="n"/>
      <c r="K107" s="36" t="n">
        <v>3.76</v>
      </c>
      <c r="L107" s="36" t="n">
        <v>3.88</v>
      </c>
      <c r="M107" s="36" t="n"/>
      <c r="N107" s="36" t="n"/>
      <c r="O107" s="36" t="n"/>
      <c r="P107" s="36" t="inlineStr">
        <is>
          <t>E4</t>
        </is>
      </c>
      <c r="Q107" s="36" t="inlineStr">
        <is>
          <t>E4</t>
        </is>
      </c>
      <c r="R107" s="38">
        <f>IF(M107="","",LEFT(M107,LEN(M107)-1))</f>
        <v/>
      </c>
      <c r="S107" s="38">
        <f>IF(N107="","",LEFT(N107,LEN(N107)-1))</f>
        <v/>
      </c>
      <c r="T107" s="38">
        <f>IF(O107="","",LEFT(O107,LEN(O107)-1))</f>
        <v/>
      </c>
      <c r="U107" s="38">
        <f>IF(P107="","",LEFT(P107,LEN(P107)-1))</f>
        <v/>
      </c>
      <c r="V107" s="38">
        <f>IF(Q107="","",LEFT(Q107,LEN(Q107)-1))</f>
        <v/>
      </c>
      <c r="W107" s="38">
        <f>IF(M107="","",IFERROR(VALUE(RIGHT(M107,1)),""))</f>
        <v/>
      </c>
      <c r="X107" s="38">
        <f>IF(N107="","",IFERROR(VALUE(RIGHT(N107,1)),""))</f>
        <v/>
      </c>
      <c r="Y107" s="38">
        <f>IF(O107="","",IFERROR(VALUE(RIGHT(O107,1)),""))</f>
        <v/>
      </c>
      <c r="Z107" s="38">
        <f>IF(P107="","",IFERROR(VALUE(RIGHT(P107,1)),""))</f>
        <v/>
      </c>
      <c r="AA107" s="38">
        <f>IF(Q107="","",IFERROR(VALUE(RIGHT(Q107,1)),""))</f>
        <v/>
      </c>
      <c r="AB107" s="38">
        <f>IF(OR(M107="",W107=""),"",IFERROR(ROUND(440*2^((12*(W107+1)+IFERROR(MATCH(R107,{"C","C#","D","D#","E","F","F#","G","G#","A","A#","B"},0)-1,MATCH(R107,{"C","Db","D","Eb","E","F","Gb","G","Ab","A","Bb","B"},0)-1)-69)/12),2),""))</f>
        <v/>
      </c>
      <c r="AC107" s="38">
        <f>IF(OR(N107="",X107=""),"",IFERROR(ROUND(440*2^((12*(X107+1)+IFERROR(MATCH(S107,{"C","C#","D","D#","E","F","F#","G","G#","A","A#","B"},0)-1,MATCH(S107,{"C","Db","D","Eb","E","F","Gb","G","Ab","A","Bb","B"},0)-1)-69)/12),2),""))</f>
        <v/>
      </c>
      <c r="AD107" s="38">
        <f>IF(OR(O107="",Y107=""),"",IFERROR(ROUND(440*2^((12*(Y107+1)+IFERROR(MATCH(T107,{"C","C#","D","D#","E","F","F#","G","G#","A","A#","B"},0)-1,MATCH(T107,{"C","Db","D","Eb","E","F","Gb","G","Ab","A","Bb","B"},0)-1)-69)/12),2),""))</f>
        <v/>
      </c>
      <c r="AE107" s="38">
        <f>IF(OR(P107="",Z107=""),"",IFERROR(ROUND(440*2^((12*(Z107+1)+IFERROR(MATCH(U107,{"C","C#","D","D#","E","F","F#","G","G#","A","A#","B"},0)-1,MATCH(U107,{"C","Db","D","Eb","E","F","Gb","G","Ab","A","Bb","B"},0)-1)-69)/12),2),""))</f>
        <v/>
      </c>
      <c r="AF107" s="38">
        <f>IF(OR(Q107="",AA107=""),"",IFERROR(ROUND(440*2^((12*(AA107+1)+IFERROR(MATCH(V107,{"C","C#","D","D#","E","F","F#","G","G#","A","A#","B"},0)-1,MATCH(V107,{"C","Db","D","Eb","E","F","Gb","G","Ab","A","Bb","B"},0)-1)-69)/12),2),""))</f>
        <v/>
      </c>
      <c r="AG107" s="36" t="n"/>
      <c r="AH107" s="36" t="n"/>
      <c r="AI107" s="36" t="n"/>
      <c r="AJ107" s="36" t="inlineStr">
        <is>
          <t>Low</t>
        </is>
      </c>
      <c r="AK107" s="36" t="inlineStr">
        <is>
          <t>Low</t>
        </is>
      </c>
      <c r="AL107" s="35" t="n"/>
    </row>
    <row r="108">
      <c r="A108" s="35" t="inlineStr">
        <is>
          <t>TEST_011</t>
        </is>
      </c>
      <c r="B108" s="35" t="n">
        <v>6</v>
      </c>
      <c r="C108" s="36" t="n"/>
      <c r="D108" s="36" t="n"/>
      <c r="E108" s="36" t="n"/>
      <c r="F108" s="36" t="n">
        <v>9.300000000000001</v>
      </c>
      <c r="G108" s="36" t="n">
        <v>3.9</v>
      </c>
      <c r="H108" s="36" t="n"/>
      <c r="I108" s="36" t="n"/>
      <c r="J108" s="36" t="n"/>
      <c r="K108" s="36" t="n">
        <v>9.44</v>
      </c>
      <c r="L108" s="36" t="n">
        <v>4.08</v>
      </c>
      <c r="M108" s="36" t="n"/>
      <c r="N108" s="36" t="n"/>
      <c r="O108" s="36" t="n"/>
      <c r="P108" s="36" t="inlineStr">
        <is>
          <t>F#4</t>
        </is>
      </c>
      <c r="Q108" s="36" t="inlineStr">
        <is>
          <t>F#4</t>
        </is>
      </c>
      <c r="R108" s="38">
        <f>IF(M108="","",LEFT(M108,LEN(M108)-1))</f>
        <v/>
      </c>
      <c r="S108" s="38">
        <f>IF(N108="","",LEFT(N108,LEN(N108)-1))</f>
        <v/>
      </c>
      <c r="T108" s="38">
        <f>IF(O108="","",LEFT(O108,LEN(O108)-1))</f>
        <v/>
      </c>
      <c r="U108" s="38">
        <f>IF(P108="","",LEFT(P108,LEN(P108)-1))</f>
        <v/>
      </c>
      <c r="V108" s="38">
        <f>IF(Q108="","",LEFT(Q108,LEN(Q108)-1))</f>
        <v/>
      </c>
      <c r="W108" s="38">
        <f>IF(M108="","",IFERROR(VALUE(RIGHT(M108,1)),""))</f>
        <v/>
      </c>
      <c r="X108" s="38">
        <f>IF(N108="","",IFERROR(VALUE(RIGHT(N108,1)),""))</f>
        <v/>
      </c>
      <c r="Y108" s="38">
        <f>IF(O108="","",IFERROR(VALUE(RIGHT(O108,1)),""))</f>
        <v/>
      </c>
      <c r="Z108" s="38">
        <f>IF(P108="","",IFERROR(VALUE(RIGHT(P108,1)),""))</f>
        <v/>
      </c>
      <c r="AA108" s="38">
        <f>IF(Q108="","",IFERROR(VALUE(RIGHT(Q108,1)),""))</f>
        <v/>
      </c>
      <c r="AB108" s="38">
        <f>IF(OR(M108="",W108=""),"",IFERROR(ROUND(440*2^((12*(W108+1)+IFERROR(MATCH(R108,{"C","C#","D","D#","E","F","F#","G","G#","A","A#","B"},0)-1,MATCH(R108,{"C","Db","D","Eb","E","F","Gb","G","Ab","A","Bb","B"},0)-1)-69)/12),2),""))</f>
        <v/>
      </c>
      <c r="AC108" s="38">
        <f>IF(OR(N108="",X108=""),"",IFERROR(ROUND(440*2^((12*(X108+1)+IFERROR(MATCH(S108,{"C","C#","D","D#","E","F","F#","G","G#","A","A#","B"},0)-1,MATCH(S108,{"C","Db","D","Eb","E","F","Gb","G","Ab","A","Bb","B"},0)-1)-69)/12),2),""))</f>
        <v/>
      </c>
      <c r="AD108" s="38">
        <f>IF(OR(O108="",Y108=""),"",IFERROR(ROUND(440*2^((12*(Y108+1)+IFERROR(MATCH(T108,{"C","C#","D","D#","E","F","F#","G","G#","A","A#","B"},0)-1,MATCH(T108,{"C","Db","D","Eb","E","F","Gb","G","Ab","A","Bb","B"},0)-1)-69)/12),2),""))</f>
        <v/>
      </c>
      <c r="AE108" s="38">
        <f>IF(OR(P108="",Z108=""),"",IFERROR(ROUND(440*2^((12*(Z108+1)+IFERROR(MATCH(U108,{"C","C#","D","D#","E","F","F#","G","G#","A","A#","B"},0)-1,MATCH(U108,{"C","Db","D","Eb","E","F","Gb","G","Ab","A","Bb","B"},0)-1)-69)/12),2),""))</f>
        <v/>
      </c>
      <c r="AF108" s="38">
        <f>IF(OR(Q108="",AA108=""),"",IFERROR(ROUND(440*2^((12*(AA108+1)+IFERROR(MATCH(V108,{"C","C#","D","D#","E","F","F#","G","G#","A","A#","B"},0)-1,MATCH(V108,{"C","Db","D","Eb","E","F","Gb","G","Ab","A","Bb","B"},0)-1)-69)/12),2),""))</f>
        <v/>
      </c>
      <c r="AG108" s="36" t="n"/>
      <c r="AH108" s="36" t="n"/>
      <c r="AI108" s="36" t="n"/>
      <c r="AJ108" s="36" t="inlineStr">
        <is>
          <t>Low</t>
        </is>
      </c>
      <c r="AK108" s="36" t="inlineStr">
        <is>
          <t>Low</t>
        </is>
      </c>
      <c r="AL108" s="35" t="n"/>
    </row>
    <row r="109">
      <c r="A109" s="35" t="inlineStr">
        <is>
          <t>TEST_011</t>
        </is>
      </c>
      <c r="B109" s="35" t="n">
        <v>7</v>
      </c>
      <c r="C109" s="36" t="n"/>
      <c r="D109" s="36" t="n"/>
      <c r="E109" s="36" t="n"/>
      <c r="F109" s="36" t="n">
        <v>9.550000000000001</v>
      </c>
      <c r="G109" s="36" t="n">
        <v>4.19</v>
      </c>
      <c r="H109" s="36" t="n"/>
      <c r="I109" s="36" t="n"/>
      <c r="J109" s="36" t="n"/>
      <c r="K109" s="36" t="n">
        <v>9.789999999999999</v>
      </c>
      <c r="L109" s="36" t="n">
        <v>4.44</v>
      </c>
      <c r="M109" s="36" t="n"/>
      <c r="N109" s="36" t="n"/>
      <c r="O109" s="36" t="n"/>
      <c r="P109" s="36" t="inlineStr">
        <is>
          <t>D#4</t>
        </is>
      </c>
      <c r="Q109" s="36" t="inlineStr">
        <is>
          <t>G3</t>
        </is>
      </c>
      <c r="R109" s="38">
        <f>IF(M109="","",LEFT(M109,LEN(M109)-1))</f>
        <v/>
      </c>
      <c r="S109" s="38">
        <f>IF(N109="","",LEFT(N109,LEN(N109)-1))</f>
        <v/>
      </c>
      <c r="T109" s="38">
        <f>IF(O109="","",LEFT(O109,LEN(O109)-1))</f>
        <v/>
      </c>
      <c r="U109" s="38">
        <f>IF(P109="","",LEFT(P109,LEN(P109)-1))</f>
        <v/>
      </c>
      <c r="V109" s="38">
        <f>IF(Q109="","",LEFT(Q109,LEN(Q109)-1))</f>
        <v/>
      </c>
      <c r="W109" s="38">
        <f>IF(M109="","",IFERROR(VALUE(RIGHT(M109,1)),""))</f>
        <v/>
      </c>
      <c r="X109" s="38">
        <f>IF(N109="","",IFERROR(VALUE(RIGHT(N109,1)),""))</f>
        <v/>
      </c>
      <c r="Y109" s="38">
        <f>IF(O109="","",IFERROR(VALUE(RIGHT(O109,1)),""))</f>
        <v/>
      </c>
      <c r="Z109" s="38">
        <f>IF(P109="","",IFERROR(VALUE(RIGHT(P109,1)),""))</f>
        <v/>
      </c>
      <c r="AA109" s="38">
        <f>IF(Q109="","",IFERROR(VALUE(RIGHT(Q109,1)),""))</f>
        <v/>
      </c>
      <c r="AB109" s="38">
        <f>IF(OR(M109="",W109=""),"",IFERROR(ROUND(440*2^((12*(W109+1)+IFERROR(MATCH(R109,{"C","C#","D","D#","E","F","F#","G","G#","A","A#","B"},0)-1,MATCH(R109,{"C","Db","D","Eb","E","F","Gb","G","Ab","A","Bb","B"},0)-1)-69)/12),2),""))</f>
        <v/>
      </c>
      <c r="AC109" s="38">
        <f>IF(OR(N109="",X109=""),"",IFERROR(ROUND(440*2^((12*(X109+1)+IFERROR(MATCH(S109,{"C","C#","D","D#","E","F","F#","G","G#","A","A#","B"},0)-1,MATCH(S109,{"C","Db","D","Eb","E","F","Gb","G","Ab","A","Bb","B"},0)-1)-69)/12),2),""))</f>
        <v/>
      </c>
      <c r="AD109" s="38">
        <f>IF(OR(O109="",Y109=""),"",IFERROR(ROUND(440*2^((12*(Y109+1)+IFERROR(MATCH(T109,{"C","C#","D","D#","E","F","F#","G","G#","A","A#","B"},0)-1,MATCH(T109,{"C","Db","D","Eb","E","F","Gb","G","Ab","A","Bb","B"},0)-1)-69)/12),2),""))</f>
        <v/>
      </c>
      <c r="AE109" s="38">
        <f>IF(OR(P109="",Z109=""),"",IFERROR(ROUND(440*2^((12*(Z109+1)+IFERROR(MATCH(U109,{"C","C#","D","D#","E","F","F#","G","G#","A","A#","B"},0)-1,MATCH(U109,{"C","Db","D","Eb","E","F","Gb","G","Ab","A","Bb","B"},0)-1)-69)/12),2),""))</f>
        <v/>
      </c>
      <c r="AF109" s="38">
        <f>IF(OR(Q109="",AA109=""),"",IFERROR(ROUND(440*2^((12*(AA109+1)+IFERROR(MATCH(V109,{"C","C#","D","D#","E","F","F#","G","G#","A","A#","B"},0)-1,MATCH(V109,{"C","Db","D","Eb","E","F","Gb","G","Ab","A","Bb","B"},0)-1)-69)/12),2),""))</f>
        <v/>
      </c>
      <c r="AG109" s="36" t="n"/>
      <c r="AH109" s="36" t="n"/>
      <c r="AI109" s="36" t="n"/>
      <c r="AJ109" s="36" t="inlineStr">
        <is>
          <t>Low</t>
        </is>
      </c>
      <c r="AK109" s="36" t="inlineStr">
        <is>
          <t>Low</t>
        </is>
      </c>
      <c r="AL109" s="35" t="n"/>
    </row>
    <row r="110">
      <c r="A110" s="35" t="inlineStr">
        <is>
          <t>TEST_011</t>
        </is>
      </c>
      <c r="B110" s="35" t="n">
        <v>8</v>
      </c>
      <c r="C110" s="36" t="n"/>
      <c r="D110" s="36" t="n"/>
      <c r="E110" s="36" t="n"/>
      <c r="F110" s="36" t="n">
        <v>11.84</v>
      </c>
      <c r="G110" s="36" t="n">
        <v>5.32</v>
      </c>
      <c r="H110" s="36" t="n"/>
      <c r="I110" s="36" t="n"/>
      <c r="J110" s="36" t="n"/>
      <c r="K110" s="36" t="n">
        <v>11.99</v>
      </c>
      <c r="L110" s="36" t="n">
        <v>5.53</v>
      </c>
      <c r="M110" s="36" t="n"/>
      <c r="N110" s="36" t="n"/>
      <c r="O110" s="36" t="n"/>
      <c r="P110" s="36" t="inlineStr">
        <is>
          <t>E4</t>
        </is>
      </c>
      <c r="Q110" s="36" t="inlineStr">
        <is>
          <t>B2</t>
        </is>
      </c>
      <c r="R110" s="38">
        <f>IF(M110="","",LEFT(M110,LEN(M110)-1))</f>
        <v/>
      </c>
      <c r="S110" s="38">
        <f>IF(N110="","",LEFT(N110,LEN(N110)-1))</f>
        <v/>
      </c>
      <c r="T110" s="38">
        <f>IF(O110="","",LEFT(O110,LEN(O110)-1))</f>
        <v/>
      </c>
      <c r="U110" s="38">
        <f>IF(P110="","",LEFT(P110,LEN(P110)-1))</f>
        <v/>
      </c>
      <c r="V110" s="38">
        <f>IF(Q110="","",LEFT(Q110,LEN(Q110)-1))</f>
        <v/>
      </c>
      <c r="W110" s="38">
        <f>IF(M110="","",IFERROR(VALUE(RIGHT(M110,1)),""))</f>
        <v/>
      </c>
      <c r="X110" s="38">
        <f>IF(N110="","",IFERROR(VALUE(RIGHT(N110,1)),""))</f>
        <v/>
      </c>
      <c r="Y110" s="38">
        <f>IF(O110="","",IFERROR(VALUE(RIGHT(O110,1)),""))</f>
        <v/>
      </c>
      <c r="Z110" s="38">
        <f>IF(P110="","",IFERROR(VALUE(RIGHT(P110,1)),""))</f>
        <v/>
      </c>
      <c r="AA110" s="38">
        <f>IF(Q110="","",IFERROR(VALUE(RIGHT(Q110,1)),""))</f>
        <v/>
      </c>
      <c r="AB110" s="38">
        <f>IF(OR(M110="",W110=""),"",IFERROR(ROUND(440*2^((12*(W110+1)+IFERROR(MATCH(R110,{"C","C#","D","D#","E","F","F#","G","G#","A","A#","B"},0)-1,MATCH(R110,{"C","Db","D","Eb","E","F","Gb","G","Ab","A","Bb","B"},0)-1)-69)/12),2),""))</f>
        <v/>
      </c>
      <c r="AC110" s="38">
        <f>IF(OR(N110="",X110=""),"",IFERROR(ROUND(440*2^((12*(X110+1)+IFERROR(MATCH(S110,{"C","C#","D","D#","E","F","F#","G","G#","A","A#","B"},0)-1,MATCH(S110,{"C","Db","D","Eb","E","F","Gb","G","Ab","A","Bb","B"},0)-1)-69)/12),2),""))</f>
        <v/>
      </c>
      <c r="AD110" s="38">
        <f>IF(OR(O110="",Y110=""),"",IFERROR(ROUND(440*2^((12*(Y110+1)+IFERROR(MATCH(T110,{"C","C#","D","D#","E","F","F#","G","G#","A","A#","B"},0)-1,MATCH(T110,{"C","Db","D","Eb","E","F","Gb","G","Ab","A","Bb","B"},0)-1)-69)/12),2),""))</f>
        <v/>
      </c>
      <c r="AE110" s="38">
        <f>IF(OR(P110="",Z110=""),"",IFERROR(ROUND(440*2^((12*(Z110+1)+IFERROR(MATCH(U110,{"C","C#","D","D#","E","F","F#","G","G#","A","A#","B"},0)-1,MATCH(U110,{"C","Db","D","Eb","E","F","Gb","G","Ab","A","Bb","B"},0)-1)-69)/12),2),""))</f>
        <v/>
      </c>
      <c r="AF110" s="38">
        <f>IF(OR(Q110="",AA110=""),"",IFERROR(ROUND(440*2^((12*(AA110+1)+IFERROR(MATCH(V110,{"C","C#","D","D#","E","F","F#","G","G#","A","A#","B"},0)-1,MATCH(V110,{"C","Db","D","Eb","E","F","Gb","G","Ab","A","Bb","B"},0)-1)-69)/12),2),""))</f>
        <v/>
      </c>
      <c r="AG110" s="36" t="n"/>
      <c r="AH110" s="36" t="n"/>
      <c r="AI110" s="36" t="n"/>
      <c r="AJ110" s="36" t="inlineStr">
        <is>
          <t>Low</t>
        </is>
      </c>
      <c r="AK110" s="36" t="inlineStr">
        <is>
          <t>Low</t>
        </is>
      </c>
      <c r="AL110" s="35" t="n"/>
    </row>
    <row r="111">
      <c r="A111" s="35" t="inlineStr">
        <is>
          <t>TEST_011</t>
        </is>
      </c>
      <c r="B111" s="35" t="n">
        <v>9</v>
      </c>
      <c r="C111" s="36" t="n"/>
      <c r="D111" s="36" t="n"/>
      <c r="E111" s="36" t="n"/>
      <c r="F111" s="36" t="n">
        <v>17.41</v>
      </c>
      <c r="G111" s="36" t="n">
        <v>5.8</v>
      </c>
      <c r="H111" s="36" t="n"/>
      <c r="I111" s="36" t="n"/>
      <c r="J111" s="36" t="n"/>
      <c r="K111" s="36" t="n">
        <v>17.59</v>
      </c>
      <c r="L111" s="36" t="n">
        <v>5.94</v>
      </c>
      <c r="M111" s="36" t="n"/>
      <c r="N111" s="36" t="n"/>
      <c r="O111" s="36" t="n"/>
      <c r="P111" s="36" t="inlineStr">
        <is>
          <t>D4</t>
        </is>
      </c>
      <c r="Q111" s="36" t="inlineStr">
        <is>
          <t>D#3</t>
        </is>
      </c>
      <c r="R111" s="38">
        <f>IF(M111="","",LEFT(M111,LEN(M111)-1))</f>
        <v/>
      </c>
      <c r="S111" s="38">
        <f>IF(N111="","",LEFT(N111,LEN(N111)-1))</f>
        <v/>
      </c>
      <c r="T111" s="38">
        <f>IF(O111="","",LEFT(O111,LEN(O111)-1))</f>
        <v/>
      </c>
      <c r="U111" s="38">
        <f>IF(P111="","",LEFT(P111,LEN(P111)-1))</f>
        <v/>
      </c>
      <c r="V111" s="38">
        <f>IF(Q111="","",LEFT(Q111,LEN(Q111)-1))</f>
        <v/>
      </c>
      <c r="W111" s="38">
        <f>IF(M111="","",IFERROR(VALUE(RIGHT(M111,1)),""))</f>
        <v/>
      </c>
      <c r="X111" s="38">
        <f>IF(N111="","",IFERROR(VALUE(RIGHT(N111,1)),""))</f>
        <v/>
      </c>
      <c r="Y111" s="38">
        <f>IF(O111="","",IFERROR(VALUE(RIGHT(O111,1)),""))</f>
        <v/>
      </c>
      <c r="Z111" s="38">
        <f>IF(P111="","",IFERROR(VALUE(RIGHT(P111,1)),""))</f>
        <v/>
      </c>
      <c r="AA111" s="38">
        <f>IF(Q111="","",IFERROR(VALUE(RIGHT(Q111,1)),""))</f>
        <v/>
      </c>
      <c r="AB111" s="38">
        <f>IF(OR(M111="",W111=""),"",IFERROR(ROUND(440*2^((12*(W111+1)+IFERROR(MATCH(R111,{"C","C#","D","D#","E","F","F#","G","G#","A","A#","B"},0)-1,MATCH(R111,{"C","Db","D","Eb","E","F","Gb","G","Ab","A","Bb","B"},0)-1)-69)/12),2),""))</f>
        <v/>
      </c>
      <c r="AC111" s="38">
        <f>IF(OR(N111="",X111=""),"",IFERROR(ROUND(440*2^((12*(X111+1)+IFERROR(MATCH(S111,{"C","C#","D","D#","E","F","F#","G","G#","A","A#","B"},0)-1,MATCH(S111,{"C","Db","D","Eb","E","F","Gb","G","Ab","A","Bb","B"},0)-1)-69)/12),2),""))</f>
        <v/>
      </c>
      <c r="AD111" s="38">
        <f>IF(OR(O111="",Y111=""),"",IFERROR(ROUND(440*2^((12*(Y111+1)+IFERROR(MATCH(T111,{"C","C#","D","D#","E","F","F#","G","G#","A","A#","B"},0)-1,MATCH(T111,{"C","Db","D","Eb","E","F","Gb","G","Ab","A","Bb","B"},0)-1)-69)/12),2),""))</f>
        <v/>
      </c>
      <c r="AE111" s="38">
        <f>IF(OR(P111="",Z111=""),"",IFERROR(ROUND(440*2^((12*(Z111+1)+IFERROR(MATCH(U111,{"C","C#","D","D#","E","F","F#","G","G#","A","A#","B"},0)-1,MATCH(U111,{"C","Db","D","Eb","E","F","Gb","G","Ab","A","Bb","B"},0)-1)-69)/12),2),""))</f>
        <v/>
      </c>
      <c r="AF111" s="38">
        <f>IF(OR(Q111="",AA111=""),"",IFERROR(ROUND(440*2^((12*(AA111+1)+IFERROR(MATCH(V111,{"C","C#","D","D#","E","F","F#","G","G#","A","A#","B"},0)-1,MATCH(V111,{"C","Db","D","Eb","E","F","Gb","G","Ab","A","Bb","B"},0)-1)-69)/12),2),""))</f>
        <v/>
      </c>
      <c r="AG111" s="36" t="n"/>
      <c r="AH111" s="36" t="n"/>
      <c r="AI111" s="36" t="n"/>
      <c r="AJ111" s="36" t="inlineStr">
        <is>
          <t>Low</t>
        </is>
      </c>
      <c r="AK111" s="36" t="inlineStr">
        <is>
          <t>Low</t>
        </is>
      </c>
      <c r="AL111" s="35" t="n"/>
    </row>
    <row r="112">
      <c r="A112" s="35" t="inlineStr">
        <is>
          <t>TEST_011</t>
        </is>
      </c>
      <c r="B112" s="35" t="n">
        <v>10</v>
      </c>
      <c r="C112" s="36" t="n"/>
      <c r="D112" s="36" t="n"/>
      <c r="E112" s="36" t="n"/>
      <c r="F112" s="36" t="n">
        <v>17.76</v>
      </c>
      <c r="G112" s="36" t="n">
        <v>9.51</v>
      </c>
      <c r="H112" s="36" t="n"/>
      <c r="I112" s="36" t="n"/>
      <c r="J112" s="36" t="n"/>
      <c r="K112" s="36" t="n">
        <v>17.95</v>
      </c>
      <c r="L112" s="36" t="n">
        <v>9.800000000000001</v>
      </c>
      <c r="M112" s="36" t="n"/>
      <c r="N112" s="36" t="n"/>
      <c r="O112" s="36" t="n"/>
      <c r="P112" s="36" t="inlineStr">
        <is>
          <t>D4</t>
        </is>
      </c>
      <c r="Q112" s="36" t="inlineStr">
        <is>
          <t>D#3</t>
        </is>
      </c>
      <c r="R112" s="38">
        <f>IF(M112="","",LEFT(M112,LEN(M112)-1))</f>
        <v/>
      </c>
      <c r="S112" s="38">
        <f>IF(N112="","",LEFT(N112,LEN(N112)-1))</f>
        <v/>
      </c>
      <c r="T112" s="38">
        <f>IF(O112="","",LEFT(O112,LEN(O112)-1))</f>
        <v/>
      </c>
      <c r="U112" s="38">
        <f>IF(P112="","",LEFT(P112,LEN(P112)-1))</f>
        <v/>
      </c>
      <c r="V112" s="38">
        <f>IF(Q112="","",LEFT(Q112,LEN(Q112)-1))</f>
        <v/>
      </c>
      <c r="W112" s="38">
        <f>IF(M112="","",IFERROR(VALUE(RIGHT(M112,1)),""))</f>
        <v/>
      </c>
      <c r="X112" s="38">
        <f>IF(N112="","",IFERROR(VALUE(RIGHT(N112,1)),""))</f>
        <v/>
      </c>
      <c r="Y112" s="38">
        <f>IF(O112="","",IFERROR(VALUE(RIGHT(O112,1)),""))</f>
        <v/>
      </c>
      <c r="Z112" s="38">
        <f>IF(P112="","",IFERROR(VALUE(RIGHT(P112,1)),""))</f>
        <v/>
      </c>
      <c r="AA112" s="38">
        <f>IF(Q112="","",IFERROR(VALUE(RIGHT(Q112,1)),""))</f>
        <v/>
      </c>
      <c r="AB112" s="38">
        <f>IF(OR(M112="",W112=""),"",IFERROR(ROUND(440*2^((12*(W112+1)+IFERROR(MATCH(R112,{"C","C#","D","D#","E","F","F#","G","G#","A","A#","B"},0)-1,MATCH(R112,{"C","Db","D","Eb","E","F","Gb","G","Ab","A","Bb","B"},0)-1)-69)/12),2),""))</f>
        <v/>
      </c>
      <c r="AC112" s="38">
        <f>IF(OR(N112="",X112=""),"",IFERROR(ROUND(440*2^((12*(X112+1)+IFERROR(MATCH(S112,{"C","C#","D","D#","E","F","F#","G","G#","A","A#","B"},0)-1,MATCH(S112,{"C","Db","D","Eb","E","F","Gb","G","Ab","A","Bb","B"},0)-1)-69)/12),2),""))</f>
        <v/>
      </c>
      <c r="AD112" s="38">
        <f>IF(OR(O112="",Y112=""),"",IFERROR(ROUND(440*2^((12*(Y112+1)+IFERROR(MATCH(T112,{"C","C#","D","D#","E","F","F#","G","G#","A","A#","B"},0)-1,MATCH(T112,{"C","Db","D","Eb","E","F","Gb","G","Ab","A","Bb","B"},0)-1)-69)/12),2),""))</f>
        <v/>
      </c>
      <c r="AE112" s="38">
        <f>IF(OR(P112="",Z112=""),"",IFERROR(ROUND(440*2^((12*(Z112+1)+IFERROR(MATCH(U112,{"C","C#","D","D#","E","F","F#","G","G#","A","A#","B"},0)-1,MATCH(U112,{"C","Db","D","Eb","E","F","Gb","G","Ab","A","Bb","B"},0)-1)-69)/12),2),""))</f>
        <v/>
      </c>
      <c r="AF112" s="38">
        <f>IF(OR(Q112="",AA112=""),"",IFERROR(ROUND(440*2^((12*(AA112+1)+IFERROR(MATCH(V112,{"C","C#","D","D#","E","F","F#","G","G#","A","A#","B"},0)-1,MATCH(V112,{"C","Db","D","Eb","E","F","Gb","G","Ab","A","Bb","B"},0)-1)-69)/12),2),""))</f>
        <v/>
      </c>
      <c r="AG112" s="36" t="n"/>
      <c r="AH112" s="36" t="n"/>
      <c r="AI112" s="36" t="n"/>
      <c r="AJ112" s="36" t="inlineStr">
        <is>
          <t>Low</t>
        </is>
      </c>
      <c r="AK112" s="36" t="inlineStr">
        <is>
          <t>Low</t>
        </is>
      </c>
      <c r="AL112" s="35" t="n"/>
    </row>
    <row r="113">
      <c r="A113" s="35" t="inlineStr">
        <is>
          <t>TEST_012</t>
        </is>
      </c>
      <c r="B113" s="35" t="n">
        <v>1</v>
      </c>
      <c r="C113" s="36" t="n"/>
      <c r="D113" s="36" t="n"/>
      <c r="E113" s="36" t="n"/>
      <c r="F113" s="36" t="n">
        <v>0</v>
      </c>
      <c r="G113" s="36" t="n">
        <v>0.67</v>
      </c>
      <c r="H113" s="36" t="n"/>
      <c r="I113" s="36" t="n"/>
      <c r="J113" s="36" t="n"/>
      <c r="K113" s="36" t="n">
        <v>0.3</v>
      </c>
      <c r="L113" s="36" t="n">
        <v>0.82</v>
      </c>
      <c r="M113" s="36" t="n"/>
      <c r="N113" s="36" t="inlineStr">
        <is>
          <t>N/A</t>
        </is>
      </c>
      <c r="O113" s="36" t="inlineStr">
        <is>
          <t>N/A</t>
        </is>
      </c>
      <c r="P113" s="36" t="inlineStr">
        <is>
          <t>G#3</t>
        </is>
      </c>
      <c r="Q113" s="36" t="inlineStr">
        <is>
          <t>G#3</t>
        </is>
      </c>
      <c r="R113" s="38">
        <f>IF(M113="","",LEFT(M113,LEN(M113)-1))</f>
        <v/>
      </c>
      <c r="S113" s="38">
        <f>IF(N113="","",LEFT(N113,LEN(N113)-1))</f>
        <v/>
      </c>
      <c r="T113" s="38">
        <f>IF(O113="","",LEFT(O113,LEN(O113)-1))</f>
        <v/>
      </c>
      <c r="U113" s="38">
        <f>IF(P113="","",LEFT(P113,LEN(P113)-1))</f>
        <v/>
      </c>
      <c r="V113" s="38">
        <f>IF(Q113="","",LEFT(Q113,LEN(Q113)-1))</f>
        <v/>
      </c>
      <c r="W113" s="38">
        <f>IF(M113="","",IFERROR(VALUE(RIGHT(M113,1)),""))</f>
        <v/>
      </c>
      <c r="X113" s="38">
        <f>IF(N113="","",IFERROR(VALUE(RIGHT(N113,1)),""))</f>
        <v/>
      </c>
      <c r="Y113" s="38">
        <f>IF(O113="","",IFERROR(VALUE(RIGHT(O113,1)),""))</f>
        <v/>
      </c>
      <c r="Z113" s="38">
        <f>IF(P113="","",IFERROR(VALUE(RIGHT(P113,1)),""))</f>
        <v/>
      </c>
      <c r="AA113" s="38">
        <f>IF(Q113="","",IFERROR(VALUE(RIGHT(Q113,1)),""))</f>
        <v/>
      </c>
      <c r="AB113" s="38">
        <f>IF(OR(M113="",W113=""),"",IFERROR(ROUND(440*2^((12*(W113+1)+IFERROR(MATCH(R113,{"C","C#","D","D#","E","F","F#","G","G#","A","A#","B"},0)-1,MATCH(R113,{"C","Db","D","Eb","E","F","Gb","G","Ab","A","Bb","B"},0)-1)-69)/12),2),""))</f>
        <v/>
      </c>
      <c r="AC113" s="38">
        <f>IF(OR(N113="",X113=""),"",IFERROR(ROUND(440*2^((12*(X113+1)+IFERROR(MATCH(S113,{"C","C#","D","D#","E","F","F#","G","G#","A","A#","B"},0)-1,MATCH(S113,{"C","Db","D","Eb","E","F","Gb","G","Ab","A","Bb","B"},0)-1)-69)/12),2),""))</f>
        <v/>
      </c>
      <c r="AD113" s="38">
        <f>IF(OR(O113="",Y113=""),"",IFERROR(ROUND(440*2^((12*(Y113+1)+IFERROR(MATCH(T113,{"C","C#","D","D#","E","F","F#","G","G#","A","A#","B"},0)-1,MATCH(T113,{"C","Db","D","Eb","E","F","Gb","G","Ab","A","Bb","B"},0)-1)-69)/12),2),""))</f>
        <v/>
      </c>
      <c r="AE113" s="38">
        <f>IF(OR(P113="",Z113=""),"",IFERROR(ROUND(440*2^((12*(Z113+1)+IFERROR(MATCH(U113,{"C","C#","D","D#","E","F","F#","G","G#","A","A#","B"},0)-1,MATCH(U113,{"C","Db","D","Eb","E","F","Gb","G","Ab","A","Bb","B"},0)-1)-69)/12),2),""))</f>
        <v/>
      </c>
      <c r="AF113" s="38">
        <f>IF(OR(Q113="",AA113=""),"",IFERROR(ROUND(440*2^((12*(AA113+1)+IFERROR(MATCH(V113,{"C","C#","D","D#","E","F","F#","G","G#","A","A#","B"},0)-1,MATCH(V113,{"C","Db","D","Eb","E","F","Gb","G","Ab","A","Bb","B"},0)-1)-69)/12),2),""))</f>
        <v/>
      </c>
      <c r="AG113" s="36" t="n"/>
      <c r="AH113" s="36" t="n"/>
      <c r="AI113" s="36" t="n"/>
      <c r="AJ113" s="36" t="inlineStr">
        <is>
          <t>Low</t>
        </is>
      </c>
      <c r="AK113" s="36" t="inlineStr">
        <is>
          <t>Medium</t>
        </is>
      </c>
      <c r="AL11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14">
      <c r="A114" s="35" t="inlineStr">
        <is>
          <t>TEST_012</t>
        </is>
      </c>
      <c r="B114" s="35" t="n">
        <v>2</v>
      </c>
      <c r="C114" s="36" t="n"/>
      <c r="D114" s="36" t="n"/>
      <c r="E114" s="36" t="n"/>
      <c r="F114" s="36" t="n">
        <v>2.84</v>
      </c>
      <c r="G114" s="36" t="n">
        <v>0.84</v>
      </c>
      <c r="H114" s="36" t="n"/>
      <c r="I114" s="36" t="n"/>
      <c r="J114" s="36" t="n"/>
      <c r="K114" s="36" t="n">
        <v>2.98</v>
      </c>
      <c r="L114" s="36" t="n">
        <v>0.96</v>
      </c>
      <c r="M114" s="36" t="n"/>
      <c r="N114" s="36" t="n"/>
      <c r="O114" s="36" t="n"/>
      <c r="P114" s="36" t="inlineStr">
        <is>
          <t>D#4</t>
        </is>
      </c>
      <c r="Q114" s="36" t="inlineStr">
        <is>
          <t>A#3</t>
        </is>
      </c>
      <c r="R114" s="38">
        <f>IF(M114="","",LEFT(M114,LEN(M114)-1))</f>
        <v/>
      </c>
      <c r="S114" s="38">
        <f>IF(N114="","",LEFT(N114,LEN(N114)-1))</f>
        <v/>
      </c>
      <c r="T114" s="38">
        <f>IF(O114="","",LEFT(O114,LEN(O114)-1))</f>
        <v/>
      </c>
      <c r="U114" s="38">
        <f>IF(P114="","",LEFT(P114,LEN(P114)-1))</f>
        <v/>
      </c>
      <c r="V114" s="38">
        <f>IF(Q114="","",LEFT(Q114,LEN(Q114)-1))</f>
        <v/>
      </c>
      <c r="W114" s="38">
        <f>IF(M114="","",IFERROR(VALUE(RIGHT(M114,1)),""))</f>
        <v/>
      </c>
      <c r="X114" s="38">
        <f>IF(N114="","",IFERROR(VALUE(RIGHT(N114,1)),""))</f>
        <v/>
      </c>
      <c r="Y114" s="38">
        <f>IF(O114="","",IFERROR(VALUE(RIGHT(O114,1)),""))</f>
        <v/>
      </c>
      <c r="Z114" s="38">
        <f>IF(P114="","",IFERROR(VALUE(RIGHT(P114,1)),""))</f>
        <v/>
      </c>
      <c r="AA114" s="38">
        <f>IF(Q114="","",IFERROR(VALUE(RIGHT(Q114,1)),""))</f>
        <v/>
      </c>
      <c r="AB114" s="38">
        <f>IF(OR(M114="",W114=""),"",IFERROR(ROUND(440*2^((12*(W114+1)+IFERROR(MATCH(R114,{"C","C#","D","D#","E","F","F#","G","G#","A","A#","B"},0)-1,MATCH(R114,{"C","Db","D","Eb","E","F","Gb","G","Ab","A","Bb","B"},0)-1)-69)/12),2),""))</f>
        <v/>
      </c>
      <c r="AC114" s="38">
        <f>IF(OR(N114="",X114=""),"",IFERROR(ROUND(440*2^((12*(X114+1)+IFERROR(MATCH(S114,{"C","C#","D","D#","E","F","F#","G","G#","A","A#","B"},0)-1,MATCH(S114,{"C","Db","D","Eb","E","F","Gb","G","Ab","A","Bb","B"},0)-1)-69)/12),2),""))</f>
        <v/>
      </c>
      <c r="AD114" s="38">
        <f>IF(OR(O114="",Y114=""),"",IFERROR(ROUND(440*2^((12*(Y114+1)+IFERROR(MATCH(T114,{"C","C#","D","D#","E","F","F#","G","G#","A","A#","B"},0)-1,MATCH(T114,{"C","Db","D","Eb","E","F","Gb","G","Ab","A","Bb","B"},0)-1)-69)/12),2),""))</f>
        <v/>
      </c>
      <c r="AE114" s="38">
        <f>IF(OR(P114="",Z114=""),"",IFERROR(ROUND(440*2^((12*(Z114+1)+IFERROR(MATCH(U114,{"C","C#","D","D#","E","F","F#","G","G#","A","A#","B"},0)-1,MATCH(U114,{"C","Db","D","Eb","E","F","Gb","G","Ab","A","Bb","B"},0)-1)-69)/12),2),""))</f>
        <v/>
      </c>
      <c r="AF114" s="38">
        <f>IF(OR(Q114="",AA114=""),"",IFERROR(ROUND(440*2^((12*(AA114+1)+IFERROR(MATCH(V114,{"C","C#","D","D#","E","F","F#","G","G#","A","A#","B"},0)-1,MATCH(V114,{"C","Db","D","Eb","E","F","Gb","G","Ab","A","Bb","B"},0)-1)-69)/12),2),""))</f>
        <v/>
      </c>
      <c r="AG114" s="36" t="n"/>
      <c r="AH114" s="36" t="n"/>
      <c r="AI114" s="36" t="n"/>
      <c r="AJ114" s="36" t="inlineStr">
        <is>
          <t>Low</t>
        </is>
      </c>
      <c r="AK114" s="36" t="inlineStr">
        <is>
          <t>Low</t>
        </is>
      </c>
      <c r="AL114" s="35" t="n"/>
    </row>
    <row r="115">
      <c r="A115" s="35" t="inlineStr">
        <is>
          <t>TEST_012</t>
        </is>
      </c>
      <c r="B115" s="35" t="n">
        <v>3</v>
      </c>
      <c r="C115" s="36" t="n"/>
      <c r="D115" s="36" t="n"/>
      <c r="E115" s="36" t="n"/>
      <c r="F115" s="36" t="n">
        <v>2.98</v>
      </c>
      <c r="G115" s="36" t="n">
        <v>0.98</v>
      </c>
      <c r="H115" s="36" t="n"/>
      <c r="I115" s="36" t="n"/>
      <c r="J115" s="36" t="n"/>
      <c r="K115" s="36" t="n">
        <v>3.19</v>
      </c>
      <c r="L115" s="36" t="n">
        <v>1.14</v>
      </c>
      <c r="M115" s="36" t="n"/>
      <c r="N115" s="36" t="n"/>
      <c r="O115" s="36" t="n"/>
      <c r="P115" s="36" t="inlineStr">
        <is>
          <t>C#4</t>
        </is>
      </c>
      <c r="Q115" s="36" t="inlineStr">
        <is>
          <t>G#3</t>
        </is>
      </c>
      <c r="R115" s="38">
        <f>IF(M115="","",LEFT(M115,LEN(M115)-1))</f>
        <v/>
      </c>
      <c r="S115" s="38">
        <f>IF(N115="","",LEFT(N115,LEN(N115)-1))</f>
        <v/>
      </c>
      <c r="T115" s="38">
        <f>IF(O115="","",LEFT(O115,LEN(O115)-1))</f>
        <v/>
      </c>
      <c r="U115" s="38">
        <f>IF(P115="","",LEFT(P115,LEN(P115)-1))</f>
        <v/>
      </c>
      <c r="V115" s="38">
        <f>IF(Q115="","",LEFT(Q115,LEN(Q115)-1))</f>
        <v/>
      </c>
      <c r="W115" s="38">
        <f>IF(M115="","",IFERROR(VALUE(RIGHT(M115,1)),""))</f>
        <v/>
      </c>
      <c r="X115" s="38">
        <f>IF(N115="","",IFERROR(VALUE(RIGHT(N115,1)),""))</f>
        <v/>
      </c>
      <c r="Y115" s="38">
        <f>IF(O115="","",IFERROR(VALUE(RIGHT(O115,1)),""))</f>
        <v/>
      </c>
      <c r="Z115" s="38">
        <f>IF(P115="","",IFERROR(VALUE(RIGHT(P115,1)),""))</f>
        <v/>
      </c>
      <c r="AA115" s="38">
        <f>IF(Q115="","",IFERROR(VALUE(RIGHT(Q115,1)),""))</f>
        <v/>
      </c>
      <c r="AB115" s="38">
        <f>IF(OR(M115="",W115=""),"",IFERROR(ROUND(440*2^((12*(W115+1)+IFERROR(MATCH(R115,{"C","C#","D","D#","E","F","F#","G","G#","A","A#","B"},0)-1,MATCH(R115,{"C","Db","D","Eb","E","F","Gb","G","Ab","A","Bb","B"},0)-1)-69)/12),2),""))</f>
        <v/>
      </c>
      <c r="AC115" s="38">
        <f>IF(OR(N115="",X115=""),"",IFERROR(ROUND(440*2^((12*(X115+1)+IFERROR(MATCH(S115,{"C","C#","D","D#","E","F","F#","G","G#","A","A#","B"},0)-1,MATCH(S115,{"C","Db","D","Eb","E","F","Gb","G","Ab","A","Bb","B"},0)-1)-69)/12),2),""))</f>
        <v/>
      </c>
      <c r="AD115" s="38">
        <f>IF(OR(O115="",Y115=""),"",IFERROR(ROUND(440*2^((12*(Y115+1)+IFERROR(MATCH(T115,{"C","C#","D","D#","E","F","F#","G","G#","A","A#","B"},0)-1,MATCH(T115,{"C","Db","D","Eb","E","F","Gb","G","Ab","A","Bb","B"},0)-1)-69)/12),2),""))</f>
        <v/>
      </c>
      <c r="AE115" s="38">
        <f>IF(OR(P115="",Z115=""),"",IFERROR(ROUND(440*2^((12*(Z115+1)+IFERROR(MATCH(U115,{"C","C#","D","D#","E","F","F#","G","G#","A","A#","B"},0)-1,MATCH(U115,{"C","Db","D","Eb","E","F","Gb","G","Ab","A","Bb","B"},0)-1)-69)/12),2),""))</f>
        <v/>
      </c>
      <c r="AF115" s="38">
        <f>IF(OR(Q115="",AA115=""),"",IFERROR(ROUND(440*2^((12*(AA115+1)+IFERROR(MATCH(V115,{"C","C#","D","D#","E","F","F#","G","G#","A","A#","B"},0)-1,MATCH(V115,{"C","Db","D","Eb","E","F","Gb","G","Ab","A","Bb","B"},0)-1)-69)/12),2),""))</f>
        <v/>
      </c>
      <c r="AG115" s="36" t="n"/>
      <c r="AH115" s="36" t="n"/>
      <c r="AI115" s="36" t="n"/>
      <c r="AJ115" s="36" t="inlineStr">
        <is>
          <t>Low</t>
        </is>
      </c>
      <c r="AK115" s="36" t="inlineStr">
        <is>
          <t>Low</t>
        </is>
      </c>
      <c r="AL115" s="35" t="n"/>
    </row>
    <row r="116">
      <c r="A116" s="35" t="inlineStr">
        <is>
          <t>TEST_012</t>
        </is>
      </c>
      <c r="B116" s="35" t="n">
        <v>4</v>
      </c>
      <c r="C116" s="36" t="n"/>
      <c r="D116" s="36" t="n"/>
      <c r="E116" s="36" t="n"/>
      <c r="F116" s="36" t="n">
        <v>3.22</v>
      </c>
      <c r="G116" s="36" t="n">
        <v>1.51</v>
      </c>
      <c r="H116" s="36" t="n"/>
      <c r="I116" s="36" t="n"/>
      <c r="J116" s="36" t="n"/>
      <c r="K116" s="36" t="n">
        <v>3.68</v>
      </c>
      <c r="L116" s="36" t="n">
        <v>1.64</v>
      </c>
      <c r="M116" s="36" t="n"/>
      <c r="N116" s="36" t="n"/>
      <c r="O116" s="36" t="n"/>
      <c r="P116" s="36" t="inlineStr">
        <is>
          <t>C#3</t>
        </is>
      </c>
      <c r="Q116" s="36" t="inlineStr">
        <is>
          <t>B3</t>
        </is>
      </c>
      <c r="R116" s="38">
        <f>IF(M116="","",LEFT(M116,LEN(M116)-1))</f>
        <v/>
      </c>
      <c r="S116" s="38">
        <f>IF(N116="","",LEFT(N116,LEN(N116)-1))</f>
        <v/>
      </c>
      <c r="T116" s="38">
        <f>IF(O116="","",LEFT(O116,LEN(O116)-1))</f>
        <v/>
      </c>
      <c r="U116" s="38">
        <f>IF(P116="","",LEFT(P116,LEN(P116)-1))</f>
        <v/>
      </c>
      <c r="V116" s="38">
        <f>IF(Q116="","",LEFT(Q116,LEN(Q116)-1))</f>
        <v/>
      </c>
      <c r="W116" s="38">
        <f>IF(M116="","",IFERROR(VALUE(RIGHT(M116,1)),""))</f>
        <v/>
      </c>
      <c r="X116" s="38">
        <f>IF(N116="","",IFERROR(VALUE(RIGHT(N116,1)),""))</f>
        <v/>
      </c>
      <c r="Y116" s="38">
        <f>IF(O116="","",IFERROR(VALUE(RIGHT(O116,1)),""))</f>
        <v/>
      </c>
      <c r="Z116" s="38">
        <f>IF(P116="","",IFERROR(VALUE(RIGHT(P116,1)),""))</f>
        <v/>
      </c>
      <c r="AA116" s="38">
        <f>IF(Q116="","",IFERROR(VALUE(RIGHT(Q116,1)),""))</f>
        <v/>
      </c>
      <c r="AB116" s="38">
        <f>IF(OR(M116="",W116=""),"",IFERROR(ROUND(440*2^((12*(W116+1)+IFERROR(MATCH(R116,{"C","C#","D","D#","E","F","F#","G","G#","A","A#","B"},0)-1,MATCH(R116,{"C","Db","D","Eb","E","F","Gb","G","Ab","A","Bb","B"},0)-1)-69)/12),2),""))</f>
        <v/>
      </c>
      <c r="AC116" s="38">
        <f>IF(OR(N116="",X116=""),"",IFERROR(ROUND(440*2^((12*(X116+1)+IFERROR(MATCH(S116,{"C","C#","D","D#","E","F","F#","G","G#","A","A#","B"},0)-1,MATCH(S116,{"C","Db","D","Eb","E","F","Gb","G","Ab","A","Bb","B"},0)-1)-69)/12),2),""))</f>
        <v/>
      </c>
      <c r="AD116" s="38">
        <f>IF(OR(O116="",Y116=""),"",IFERROR(ROUND(440*2^((12*(Y116+1)+IFERROR(MATCH(T116,{"C","C#","D","D#","E","F","F#","G","G#","A","A#","B"},0)-1,MATCH(T116,{"C","Db","D","Eb","E","F","Gb","G","Ab","A","Bb","B"},0)-1)-69)/12),2),""))</f>
        <v/>
      </c>
      <c r="AE116" s="38">
        <f>IF(OR(P116="",Z116=""),"",IFERROR(ROUND(440*2^((12*(Z116+1)+IFERROR(MATCH(U116,{"C","C#","D","D#","E","F","F#","G","G#","A","A#","B"},0)-1,MATCH(U116,{"C","Db","D","Eb","E","F","Gb","G","Ab","A","Bb","B"},0)-1)-69)/12),2),""))</f>
        <v/>
      </c>
      <c r="AF116" s="38">
        <f>IF(OR(Q116="",AA116=""),"",IFERROR(ROUND(440*2^((12*(AA116+1)+IFERROR(MATCH(V116,{"C","C#","D","D#","E","F","F#","G","G#","A","A#","B"},0)-1,MATCH(V116,{"C","Db","D","Eb","E","F","Gb","G","Ab","A","Bb","B"},0)-1)-69)/12),2),""))</f>
        <v/>
      </c>
      <c r="AG116" s="36" t="n"/>
      <c r="AH116" s="36" t="n"/>
      <c r="AI116" s="36" t="n"/>
      <c r="AJ116" s="36" t="inlineStr">
        <is>
          <t>Low</t>
        </is>
      </c>
      <c r="AK116" s="36" t="inlineStr">
        <is>
          <t>Low</t>
        </is>
      </c>
      <c r="AL116" s="35" t="n"/>
    </row>
    <row r="117">
      <c r="A117" s="35" t="inlineStr">
        <is>
          <t>TEST_012</t>
        </is>
      </c>
      <c r="B117" s="35" t="n">
        <v>5</v>
      </c>
      <c r="C117" s="36" t="n"/>
      <c r="D117" s="36" t="n"/>
      <c r="E117" s="36" t="n"/>
      <c r="F117" s="36" t="n">
        <v>3.68</v>
      </c>
      <c r="G117" s="36" t="n">
        <v>1.81</v>
      </c>
      <c r="H117" s="36" t="n"/>
      <c r="I117" s="36" t="n"/>
      <c r="J117" s="36" t="n"/>
      <c r="K117" s="36" t="n">
        <v>3.85</v>
      </c>
      <c r="L117" s="36" t="n">
        <v>2</v>
      </c>
      <c r="M117" s="36" t="n"/>
      <c r="N117" s="36" t="n"/>
      <c r="O117" s="36" t="n"/>
      <c r="P117" s="36" t="inlineStr">
        <is>
          <t>C#3</t>
        </is>
      </c>
      <c r="Q117" s="36" t="inlineStr">
        <is>
          <t>A#3</t>
        </is>
      </c>
      <c r="R117" s="38">
        <f>IF(M117="","",LEFT(M117,LEN(M117)-1))</f>
        <v/>
      </c>
      <c r="S117" s="38">
        <f>IF(N117="","",LEFT(N117,LEN(N117)-1))</f>
        <v/>
      </c>
      <c r="T117" s="38">
        <f>IF(O117="","",LEFT(O117,LEN(O117)-1))</f>
        <v/>
      </c>
      <c r="U117" s="38">
        <f>IF(P117="","",LEFT(P117,LEN(P117)-1))</f>
        <v/>
      </c>
      <c r="V117" s="38">
        <f>IF(Q117="","",LEFT(Q117,LEN(Q117)-1))</f>
        <v/>
      </c>
      <c r="W117" s="38">
        <f>IF(M117="","",IFERROR(VALUE(RIGHT(M117,1)),""))</f>
        <v/>
      </c>
      <c r="X117" s="38">
        <f>IF(N117="","",IFERROR(VALUE(RIGHT(N117,1)),""))</f>
        <v/>
      </c>
      <c r="Y117" s="38">
        <f>IF(O117="","",IFERROR(VALUE(RIGHT(O117,1)),""))</f>
        <v/>
      </c>
      <c r="Z117" s="38">
        <f>IF(P117="","",IFERROR(VALUE(RIGHT(P117,1)),""))</f>
        <v/>
      </c>
      <c r="AA117" s="38">
        <f>IF(Q117="","",IFERROR(VALUE(RIGHT(Q117,1)),""))</f>
        <v/>
      </c>
      <c r="AB117" s="38">
        <f>IF(OR(M117="",W117=""),"",IFERROR(ROUND(440*2^((12*(W117+1)+IFERROR(MATCH(R117,{"C","C#","D","D#","E","F","F#","G","G#","A","A#","B"},0)-1,MATCH(R117,{"C","Db","D","Eb","E","F","Gb","G","Ab","A","Bb","B"},0)-1)-69)/12),2),""))</f>
        <v/>
      </c>
      <c r="AC117" s="38">
        <f>IF(OR(N117="",X117=""),"",IFERROR(ROUND(440*2^((12*(X117+1)+IFERROR(MATCH(S117,{"C","C#","D","D#","E","F","F#","G","G#","A","A#","B"},0)-1,MATCH(S117,{"C","Db","D","Eb","E","F","Gb","G","Ab","A","Bb","B"},0)-1)-69)/12),2),""))</f>
        <v/>
      </c>
      <c r="AD117" s="38">
        <f>IF(OR(O117="",Y117=""),"",IFERROR(ROUND(440*2^((12*(Y117+1)+IFERROR(MATCH(T117,{"C","C#","D","D#","E","F","F#","G","G#","A","A#","B"},0)-1,MATCH(T117,{"C","Db","D","Eb","E","F","Gb","G","Ab","A","Bb","B"},0)-1)-69)/12),2),""))</f>
        <v/>
      </c>
      <c r="AE117" s="38">
        <f>IF(OR(P117="",Z117=""),"",IFERROR(ROUND(440*2^((12*(Z117+1)+IFERROR(MATCH(U117,{"C","C#","D","D#","E","F","F#","G","G#","A","A#","B"},0)-1,MATCH(U117,{"C","Db","D","Eb","E","F","Gb","G","Ab","A","Bb","B"},0)-1)-69)/12),2),""))</f>
        <v/>
      </c>
      <c r="AF117" s="38">
        <f>IF(OR(Q117="",AA117=""),"",IFERROR(ROUND(440*2^((12*(AA117+1)+IFERROR(MATCH(V117,{"C","C#","D","D#","E","F","F#","G","G#","A","A#","B"},0)-1,MATCH(V117,{"C","Db","D","Eb","E","F","Gb","G","Ab","A","Bb","B"},0)-1)-69)/12),2),""))</f>
        <v/>
      </c>
      <c r="AG117" s="36" t="n"/>
      <c r="AH117" s="36" t="n"/>
      <c r="AI117" s="36" t="n"/>
      <c r="AJ117" s="36" t="inlineStr">
        <is>
          <t>Low</t>
        </is>
      </c>
      <c r="AK117" s="36" t="inlineStr">
        <is>
          <t>Medium</t>
        </is>
      </c>
      <c r="AL117" s="35" t="n"/>
    </row>
    <row r="118">
      <c r="A118" s="35" t="inlineStr">
        <is>
          <t>TEST_012</t>
        </is>
      </c>
      <c r="B118" s="35" t="n">
        <v>6</v>
      </c>
      <c r="C118" s="36" t="n"/>
      <c r="D118" s="36" t="n"/>
      <c r="E118" s="36" t="n"/>
      <c r="F118" s="36" t="n">
        <v>5.26</v>
      </c>
      <c r="G118" s="36" t="n">
        <v>2.15</v>
      </c>
      <c r="H118" s="36" t="n"/>
      <c r="I118" s="36" t="n"/>
      <c r="J118" s="36" t="n"/>
      <c r="K118" s="36" t="n">
        <v>5.41</v>
      </c>
      <c r="L118" s="36" t="n">
        <v>2.29</v>
      </c>
      <c r="M118" s="36" t="n"/>
      <c r="N118" s="36" t="n"/>
      <c r="O118" s="36" t="n"/>
      <c r="P118" s="36" t="inlineStr">
        <is>
          <t>B3</t>
        </is>
      </c>
      <c r="Q118" s="36" t="inlineStr">
        <is>
          <t>A#3</t>
        </is>
      </c>
      <c r="R118" s="38">
        <f>IF(M118="","",LEFT(M118,LEN(M118)-1))</f>
        <v/>
      </c>
      <c r="S118" s="38">
        <f>IF(N118="","",LEFT(N118,LEN(N118)-1))</f>
        <v/>
      </c>
      <c r="T118" s="38">
        <f>IF(O118="","",LEFT(O118,LEN(O118)-1))</f>
        <v/>
      </c>
      <c r="U118" s="38">
        <f>IF(P118="","",LEFT(P118,LEN(P118)-1))</f>
        <v/>
      </c>
      <c r="V118" s="38">
        <f>IF(Q118="","",LEFT(Q118,LEN(Q118)-1))</f>
        <v/>
      </c>
      <c r="W118" s="38">
        <f>IF(M118="","",IFERROR(VALUE(RIGHT(M118,1)),""))</f>
        <v/>
      </c>
      <c r="X118" s="38">
        <f>IF(N118="","",IFERROR(VALUE(RIGHT(N118,1)),""))</f>
        <v/>
      </c>
      <c r="Y118" s="38">
        <f>IF(O118="","",IFERROR(VALUE(RIGHT(O118,1)),""))</f>
        <v/>
      </c>
      <c r="Z118" s="38">
        <f>IF(P118="","",IFERROR(VALUE(RIGHT(P118,1)),""))</f>
        <v/>
      </c>
      <c r="AA118" s="38">
        <f>IF(Q118="","",IFERROR(VALUE(RIGHT(Q118,1)),""))</f>
        <v/>
      </c>
      <c r="AB118" s="38">
        <f>IF(OR(M118="",W118=""),"",IFERROR(ROUND(440*2^((12*(W118+1)+IFERROR(MATCH(R118,{"C","C#","D","D#","E","F","F#","G","G#","A","A#","B"},0)-1,MATCH(R118,{"C","Db","D","Eb","E","F","Gb","G","Ab","A","Bb","B"},0)-1)-69)/12),2),""))</f>
        <v/>
      </c>
      <c r="AC118" s="38">
        <f>IF(OR(N118="",X118=""),"",IFERROR(ROUND(440*2^((12*(X118+1)+IFERROR(MATCH(S118,{"C","C#","D","D#","E","F","F#","G","G#","A","A#","B"},0)-1,MATCH(S118,{"C","Db","D","Eb","E","F","Gb","G","Ab","A","Bb","B"},0)-1)-69)/12),2),""))</f>
        <v/>
      </c>
      <c r="AD118" s="38">
        <f>IF(OR(O118="",Y118=""),"",IFERROR(ROUND(440*2^((12*(Y118+1)+IFERROR(MATCH(T118,{"C","C#","D","D#","E","F","F#","G","G#","A","A#","B"},0)-1,MATCH(T118,{"C","Db","D","Eb","E","F","Gb","G","Ab","A","Bb","B"},0)-1)-69)/12),2),""))</f>
        <v/>
      </c>
      <c r="AE118" s="38">
        <f>IF(OR(P118="",Z118=""),"",IFERROR(ROUND(440*2^((12*(Z118+1)+IFERROR(MATCH(U118,{"C","C#","D","D#","E","F","F#","G","G#","A","A#","B"},0)-1,MATCH(U118,{"C","Db","D","Eb","E","F","Gb","G","Ab","A","Bb","B"},0)-1)-69)/12),2),""))</f>
        <v/>
      </c>
      <c r="AF118" s="38">
        <f>IF(OR(Q118="",AA118=""),"",IFERROR(ROUND(440*2^((12*(AA118+1)+IFERROR(MATCH(V118,{"C","C#","D","D#","E","F","F#","G","G#","A","A#","B"},0)-1,MATCH(V118,{"C","Db","D","Eb","E","F","Gb","G","Ab","A","Bb","B"},0)-1)-69)/12),2),""))</f>
        <v/>
      </c>
      <c r="AG118" s="36" t="n"/>
      <c r="AH118" s="36" t="n"/>
      <c r="AI118" s="36" t="n"/>
      <c r="AJ118" s="36" t="inlineStr">
        <is>
          <t>Low</t>
        </is>
      </c>
      <c r="AK118" s="36" t="inlineStr">
        <is>
          <t>Medium</t>
        </is>
      </c>
      <c r="AL118" s="35" t="n"/>
    </row>
    <row r="119">
      <c r="A119" s="35" t="inlineStr">
        <is>
          <t>TEST_012</t>
        </is>
      </c>
      <c r="B119" s="35" t="n">
        <v>7</v>
      </c>
      <c r="C119" s="36" t="n"/>
      <c r="D119" s="36" t="n"/>
      <c r="E119" s="36" t="n"/>
      <c r="F119" s="36" t="n">
        <v>6.07</v>
      </c>
      <c r="G119" s="36" t="n">
        <v>2.37</v>
      </c>
      <c r="H119" s="36" t="n"/>
      <c r="I119" s="36" t="n"/>
      <c r="J119" s="36" t="n"/>
      <c r="K119" s="36" t="n">
        <v>6.34</v>
      </c>
      <c r="L119" s="36" t="n">
        <v>2.53</v>
      </c>
      <c r="M119" s="36" t="n"/>
      <c r="N119" s="36" t="n"/>
      <c r="O119" s="36" t="n"/>
      <c r="P119" s="36" t="inlineStr">
        <is>
          <t>G#3</t>
        </is>
      </c>
      <c r="Q119" s="36" t="inlineStr">
        <is>
          <t>C#4</t>
        </is>
      </c>
      <c r="R119" s="38">
        <f>IF(M119="","",LEFT(M119,LEN(M119)-1))</f>
        <v/>
      </c>
      <c r="S119" s="38">
        <f>IF(N119="","",LEFT(N119,LEN(N119)-1))</f>
        <v/>
      </c>
      <c r="T119" s="38">
        <f>IF(O119="","",LEFT(O119,LEN(O119)-1))</f>
        <v/>
      </c>
      <c r="U119" s="38">
        <f>IF(P119="","",LEFT(P119,LEN(P119)-1))</f>
        <v/>
      </c>
      <c r="V119" s="38">
        <f>IF(Q119="","",LEFT(Q119,LEN(Q119)-1))</f>
        <v/>
      </c>
      <c r="W119" s="38">
        <f>IF(M119="","",IFERROR(VALUE(RIGHT(M119,1)),""))</f>
        <v/>
      </c>
      <c r="X119" s="38">
        <f>IF(N119="","",IFERROR(VALUE(RIGHT(N119,1)),""))</f>
        <v/>
      </c>
      <c r="Y119" s="38">
        <f>IF(O119="","",IFERROR(VALUE(RIGHT(O119,1)),""))</f>
        <v/>
      </c>
      <c r="Z119" s="38">
        <f>IF(P119="","",IFERROR(VALUE(RIGHT(P119,1)),""))</f>
        <v/>
      </c>
      <c r="AA119" s="38">
        <f>IF(Q119="","",IFERROR(VALUE(RIGHT(Q119,1)),""))</f>
        <v/>
      </c>
      <c r="AB119" s="38">
        <f>IF(OR(M119="",W119=""),"",IFERROR(ROUND(440*2^((12*(W119+1)+IFERROR(MATCH(R119,{"C","C#","D","D#","E","F","F#","G","G#","A","A#","B"},0)-1,MATCH(R119,{"C","Db","D","Eb","E","F","Gb","G","Ab","A","Bb","B"},0)-1)-69)/12),2),""))</f>
        <v/>
      </c>
      <c r="AC119" s="38">
        <f>IF(OR(N119="",X119=""),"",IFERROR(ROUND(440*2^((12*(X119+1)+IFERROR(MATCH(S119,{"C","C#","D","D#","E","F","F#","G","G#","A","A#","B"},0)-1,MATCH(S119,{"C","Db","D","Eb","E","F","Gb","G","Ab","A","Bb","B"},0)-1)-69)/12),2),""))</f>
        <v/>
      </c>
      <c r="AD119" s="38">
        <f>IF(OR(O119="",Y119=""),"",IFERROR(ROUND(440*2^((12*(Y119+1)+IFERROR(MATCH(T119,{"C","C#","D","D#","E","F","F#","G","G#","A","A#","B"},0)-1,MATCH(T119,{"C","Db","D","Eb","E","F","Gb","G","Ab","A","Bb","B"},0)-1)-69)/12),2),""))</f>
        <v/>
      </c>
      <c r="AE119" s="38">
        <f>IF(OR(P119="",Z119=""),"",IFERROR(ROUND(440*2^((12*(Z119+1)+IFERROR(MATCH(U119,{"C","C#","D","D#","E","F","F#","G","G#","A","A#","B"},0)-1,MATCH(U119,{"C","Db","D","Eb","E","F","Gb","G","Ab","A","Bb","B"},0)-1)-69)/12),2),""))</f>
        <v/>
      </c>
      <c r="AF119" s="38">
        <f>IF(OR(Q119="",AA119=""),"",IFERROR(ROUND(440*2^((12*(AA119+1)+IFERROR(MATCH(V119,{"C","C#","D","D#","E","F","F#","G","G#","A","A#","B"},0)-1,MATCH(V119,{"C","Db","D","Eb","E","F","Gb","G","Ab","A","Bb","B"},0)-1)-69)/12),2),""))</f>
        <v/>
      </c>
      <c r="AG119" s="36" t="n"/>
      <c r="AH119" s="36" t="n"/>
      <c r="AI119" s="36" t="n"/>
      <c r="AJ119" s="36" t="inlineStr">
        <is>
          <t>Low</t>
        </is>
      </c>
      <c r="AK119" s="36" t="inlineStr">
        <is>
          <t>Medium</t>
        </is>
      </c>
      <c r="AL119" s="35" t="n"/>
    </row>
    <row r="120">
      <c r="A120" s="35" t="inlineStr">
        <is>
          <t>TEST_012</t>
        </is>
      </c>
      <c r="B120" s="35" t="n">
        <v>8</v>
      </c>
      <c r="C120" s="36" t="n"/>
      <c r="D120" s="36" t="n"/>
      <c r="E120" s="36" t="n"/>
      <c r="F120" s="36" t="n">
        <v>8.390000000000001</v>
      </c>
      <c r="G120" s="36" t="n">
        <v>2.82</v>
      </c>
      <c r="H120" s="36" t="n"/>
      <c r="I120" s="36" t="n"/>
      <c r="J120" s="36" t="n"/>
      <c r="K120" s="36" t="n">
        <v>8.52</v>
      </c>
      <c r="L120" s="36" t="n">
        <v>3.01</v>
      </c>
      <c r="M120" s="36" t="n"/>
      <c r="N120" s="36" t="n"/>
      <c r="O120" s="36" t="n"/>
      <c r="P120" s="36" t="inlineStr">
        <is>
          <t>D#4</t>
        </is>
      </c>
      <c r="Q120" s="36" t="inlineStr">
        <is>
          <t>D#3</t>
        </is>
      </c>
      <c r="R120" s="38">
        <f>IF(M120="","",LEFT(M120,LEN(M120)-1))</f>
        <v/>
      </c>
      <c r="S120" s="38">
        <f>IF(N120="","",LEFT(N120,LEN(N120)-1))</f>
        <v/>
      </c>
      <c r="T120" s="38">
        <f>IF(O120="","",LEFT(O120,LEN(O120)-1))</f>
        <v/>
      </c>
      <c r="U120" s="38">
        <f>IF(P120="","",LEFT(P120,LEN(P120)-1))</f>
        <v/>
      </c>
      <c r="V120" s="38">
        <f>IF(Q120="","",LEFT(Q120,LEN(Q120)-1))</f>
        <v/>
      </c>
      <c r="W120" s="38">
        <f>IF(M120="","",IFERROR(VALUE(RIGHT(M120,1)),""))</f>
        <v/>
      </c>
      <c r="X120" s="38">
        <f>IF(N120="","",IFERROR(VALUE(RIGHT(N120,1)),""))</f>
        <v/>
      </c>
      <c r="Y120" s="38">
        <f>IF(O120="","",IFERROR(VALUE(RIGHT(O120,1)),""))</f>
        <v/>
      </c>
      <c r="Z120" s="38">
        <f>IF(P120="","",IFERROR(VALUE(RIGHT(P120,1)),""))</f>
        <v/>
      </c>
      <c r="AA120" s="38">
        <f>IF(Q120="","",IFERROR(VALUE(RIGHT(Q120,1)),""))</f>
        <v/>
      </c>
      <c r="AB120" s="38">
        <f>IF(OR(M120="",W120=""),"",IFERROR(ROUND(440*2^((12*(W120+1)+IFERROR(MATCH(R120,{"C","C#","D","D#","E","F","F#","G","G#","A","A#","B"},0)-1,MATCH(R120,{"C","Db","D","Eb","E","F","Gb","G","Ab","A","Bb","B"},0)-1)-69)/12),2),""))</f>
        <v/>
      </c>
      <c r="AC120" s="38">
        <f>IF(OR(N120="",X120=""),"",IFERROR(ROUND(440*2^((12*(X120+1)+IFERROR(MATCH(S120,{"C","C#","D","D#","E","F","F#","G","G#","A","A#","B"},0)-1,MATCH(S120,{"C","Db","D","Eb","E","F","Gb","G","Ab","A","Bb","B"},0)-1)-69)/12),2),""))</f>
        <v/>
      </c>
      <c r="AD120" s="38">
        <f>IF(OR(O120="",Y120=""),"",IFERROR(ROUND(440*2^((12*(Y120+1)+IFERROR(MATCH(T120,{"C","C#","D","D#","E","F","F#","G","G#","A","A#","B"},0)-1,MATCH(T120,{"C","Db","D","Eb","E","F","Gb","G","Ab","A","Bb","B"},0)-1)-69)/12),2),""))</f>
        <v/>
      </c>
      <c r="AE120" s="38">
        <f>IF(OR(P120="",Z120=""),"",IFERROR(ROUND(440*2^((12*(Z120+1)+IFERROR(MATCH(U120,{"C","C#","D","D#","E","F","F#","G","G#","A","A#","B"},0)-1,MATCH(U120,{"C","Db","D","Eb","E","F","Gb","G","Ab","A","Bb","B"},0)-1)-69)/12),2),""))</f>
        <v/>
      </c>
      <c r="AF120" s="38">
        <f>IF(OR(Q120="",AA120=""),"",IFERROR(ROUND(440*2^((12*(AA120+1)+IFERROR(MATCH(V120,{"C","C#","D","D#","E","F","F#","G","G#","A","A#","B"},0)-1,MATCH(V120,{"C","Db","D","Eb","E","F","Gb","G","Ab","A","Bb","B"},0)-1)-69)/12),2),""))</f>
        <v/>
      </c>
      <c r="AG120" s="36" t="n"/>
      <c r="AH120" s="36" t="n"/>
      <c r="AI120" s="36" t="n"/>
      <c r="AJ120" s="36" t="inlineStr">
        <is>
          <t>Low</t>
        </is>
      </c>
      <c r="AK120" s="36" t="inlineStr">
        <is>
          <t>Low</t>
        </is>
      </c>
      <c r="AL120" s="35" t="n"/>
    </row>
    <row r="121">
      <c r="A121" s="35" t="inlineStr">
        <is>
          <t>TEST_012</t>
        </is>
      </c>
      <c r="B121" s="35" t="n">
        <v>9</v>
      </c>
      <c r="C121" s="36" t="n"/>
      <c r="D121" s="36" t="n"/>
      <c r="E121" s="36" t="n"/>
      <c r="F121" s="36" t="n">
        <v>13.86</v>
      </c>
      <c r="G121" s="36" t="n">
        <v>6.13</v>
      </c>
      <c r="H121" s="36" t="n"/>
      <c r="I121" s="36" t="n"/>
      <c r="J121" s="36" t="n"/>
      <c r="K121" s="36" t="n">
        <v>14.56</v>
      </c>
      <c r="L121" s="36" t="n">
        <v>6.37</v>
      </c>
      <c r="M121" s="36" t="n"/>
      <c r="N121" s="36" t="n"/>
      <c r="O121" s="36" t="n"/>
      <c r="P121" s="36" t="inlineStr">
        <is>
          <t>C#4</t>
        </is>
      </c>
      <c r="Q121" s="36" t="inlineStr">
        <is>
          <t>G#2</t>
        </is>
      </c>
      <c r="R121" s="38">
        <f>IF(M121="","",LEFT(M121,LEN(M121)-1))</f>
        <v/>
      </c>
      <c r="S121" s="38">
        <f>IF(N121="","",LEFT(N121,LEN(N121)-1))</f>
        <v/>
      </c>
      <c r="T121" s="38">
        <f>IF(O121="","",LEFT(O121,LEN(O121)-1))</f>
        <v/>
      </c>
      <c r="U121" s="38">
        <f>IF(P121="","",LEFT(P121,LEN(P121)-1))</f>
        <v/>
      </c>
      <c r="V121" s="38">
        <f>IF(Q121="","",LEFT(Q121,LEN(Q121)-1))</f>
        <v/>
      </c>
      <c r="W121" s="38">
        <f>IF(M121="","",IFERROR(VALUE(RIGHT(M121,1)),""))</f>
        <v/>
      </c>
      <c r="X121" s="38">
        <f>IF(N121="","",IFERROR(VALUE(RIGHT(N121,1)),""))</f>
        <v/>
      </c>
      <c r="Y121" s="38">
        <f>IF(O121="","",IFERROR(VALUE(RIGHT(O121,1)),""))</f>
        <v/>
      </c>
      <c r="Z121" s="38">
        <f>IF(P121="","",IFERROR(VALUE(RIGHT(P121,1)),""))</f>
        <v/>
      </c>
      <c r="AA121" s="38">
        <f>IF(Q121="","",IFERROR(VALUE(RIGHT(Q121,1)),""))</f>
        <v/>
      </c>
      <c r="AB121" s="38">
        <f>IF(OR(M121="",W121=""),"",IFERROR(ROUND(440*2^((12*(W121+1)+IFERROR(MATCH(R121,{"C","C#","D","D#","E","F","F#","G","G#","A","A#","B"},0)-1,MATCH(R121,{"C","Db","D","Eb","E","F","Gb","G","Ab","A","Bb","B"},0)-1)-69)/12),2),""))</f>
        <v/>
      </c>
      <c r="AC121" s="38">
        <f>IF(OR(N121="",X121=""),"",IFERROR(ROUND(440*2^((12*(X121+1)+IFERROR(MATCH(S121,{"C","C#","D","D#","E","F","F#","G","G#","A","A#","B"},0)-1,MATCH(S121,{"C","Db","D","Eb","E","F","Gb","G","Ab","A","Bb","B"},0)-1)-69)/12),2),""))</f>
        <v/>
      </c>
      <c r="AD121" s="38">
        <f>IF(OR(O121="",Y121=""),"",IFERROR(ROUND(440*2^((12*(Y121+1)+IFERROR(MATCH(T121,{"C","C#","D","D#","E","F","F#","G","G#","A","A#","B"},0)-1,MATCH(T121,{"C","Db","D","Eb","E","F","Gb","G","Ab","A","Bb","B"},0)-1)-69)/12),2),""))</f>
        <v/>
      </c>
      <c r="AE121" s="38">
        <f>IF(OR(P121="",Z121=""),"",IFERROR(ROUND(440*2^((12*(Z121+1)+IFERROR(MATCH(U121,{"C","C#","D","D#","E","F","F#","G","G#","A","A#","B"},0)-1,MATCH(U121,{"C","Db","D","Eb","E","F","Gb","G","Ab","A","Bb","B"},0)-1)-69)/12),2),""))</f>
        <v/>
      </c>
      <c r="AF121" s="38">
        <f>IF(OR(Q121="",AA121=""),"",IFERROR(ROUND(440*2^((12*(AA121+1)+IFERROR(MATCH(V121,{"C","C#","D","D#","E","F","F#","G","G#","A","A#","B"},0)-1,MATCH(V121,{"C","Db","D","Eb","E","F","Gb","G","Ab","A","Bb","B"},0)-1)-69)/12),2),""))</f>
        <v/>
      </c>
      <c r="AG121" s="36" t="n"/>
      <c r="AH121" s="36" t="n"/>
      <c r="AI121" s="36" t="n"/>
      <c r="AJ121" s="36" t="inlineStr">
        <is>
          <t>Low</t>
        </is>
      </c>
      <c r="AK121" s="36" t="inlineStr">
        <is>
          <t>Low</t>
        </is>
      </c>
      <c r="AL121" s="35" t="n"/>
    </row>
    <row r="122">
      <c r="A122" s="35" t="inlineStr">
        <is>
          <t>TEST_012</t>
        </is>
      </c>
      <c r="B122" s="35" t="n">
        <v>10</v>
      </c>
      <c r="C122" s="36" t="n"/>
      <c r="D122" s="36" t="n"/>
      <c r="E122" s="36" t="n"/>
      <c r="F122" s="36" t="n">
        <v>15.02</v>
      </c>
      <c r="G122" s="36" t="n">
        <v>6.82</v>
      </c>
      <c r="H122" s="36" t="n"/>
      <c r="I122" s="36" t="n"/>
      <c r="J122" s="36" t="n"/>
      <c r="K122" s="36" t="n">
        <v>15.51</v>
      </c>
      <c r="L122" s="36" t="n">
        <v>7.04</v>
      </c>
      <c r="M122" s="36" t="n"/>
      <c r="N122" s="36" t="n"/>
      <c r="O122" s="36" t="n"/>
      <c r="P122" s="36" t="inlineStr">
        <is>
          <t>E4</t>
        </is>
      </c>
      <c r="Q122" s="36" t="inlineStr">
        <is>
          <t>G#2</t>
        </is>
      </c>
      <c r="R122" s="38">
        <f>IF(M122="","",LEFT(M122,LEN(M122)-1))</f>
        <v/>
      </c>
      <c r="S122" s="38">
        <f>IF(N122="","",LEFT(N122,LEN(N122)-1))</f>
        <v/>
      </c>
      <c r="T122" s="38">
        <f>IF(O122="","",LEFT(O122,LEN(O122)-1))</f>
        <v/>
      </c>
      <c r="U122" s="38">
        <f>IF(P122="","",LEFT(P122,LEN(P122)-1))</f>
        <v/>
      </c>
      <c r="V122" s="38">
        <f>IF(Q122="","",LEFT(Q122,LEN(Q122)-1))</f>
        <v/>
      </c>
      <c r="W122" s="38">
        <f>IF(M122="","",IFERROR(VALUE(RIGHT(M122,1)),""))</f>
        <v/>
      </c>
      <c r="X122" s="38">
        <f>IF(N122="","",IFERROR(VALUE(RIGHT(N122,1)),""))</f>
        <v/>
      </c>
      <c r="Y122" s="38">
        <f>IF(O122="","",IFERROR(VALUE(RIGHT(O122,1)),""))</f>
        <v/>
      </c>
      <c r="Z122" s="38">
        <f>IF(P122="","",IFERROR(VALUE(RIGHT(P122,1)),""))</f>
        <v/>
      </c>
      <c r="AA122" s="38">
        <f>IF(Q122="","",IFERROR(VALUE(RIGHT(Q122,1)),""))</f>
        <v/>
      </c>
      <c r="AB122" s="38">
        <f>IF(OR(M122="",W122=""),"",IFERROR(ROUND(440*2^((12*(W122+1)+IFERROR(MATCH(R122,{"C","C#","D","D#","E","F","F#","G","G#","A","A#","B"},0)-1,MATCH(R122,{"C","Db","D","Eb","E","F","Gb","G","Ab","A","Bb","B"},0)-1)-69)/12),2),""))</f>
        <v/>
      </c>
      <c r="AC122" s="38">
        <f>IF(OR(N122="",X122=""),"",IFERROR(ROUND(440*2^((12*(X122+1)+IFERROR(MATCH(S122,{"C","C#","D","D#","E","F","F#","G","G#","A","A#","B"},0)-1,MATCH(S122,{"C","Db","D","Eb","E","F","Gb","G","Ab","A","Bb","B"},0)-1)-69)/12),2),""))</f>
        <v/>
      </c>
      <c r="AD122" s="38">
        <f>IF(OR(O122="",Y122=""),"",IFERROR(ROUND(440*2^((12*(Y122+1)+IFERROR(MATCH(T122,{"C","C#","D","D#","E","F","F#","G","G#","A","A#","B"},0)-1,MATCH(T122,{"C","Db","D","Eb","E","F","Gb","G","Ab","A","Bb","B"},0)-1)-69)/12),2),""))</f>
        <v/>
      </c>
      <c r="AE122" s="38">
        <f>IF(OR(P122="",Z122=""),"",IFERROR(ROUND(440*2^((12*(Z122+1)+IFERROR(MATCH(U122,{"C","C#","D","D#","E","F","F#","G","G#","A","A#","B"},0)-1,MATCH(U122,{"C","Db","D","Eb","E","F","Gb","G","Ab","A","Bb","B"},0)-1)-69)/12),2),""))</f>
        <v/>
      </c>
      <c r="AF122" s="38">
        <f>IF(OR(Q122="",AA122=""),"",IFERROR(ROUND(440*2^((12*(AA122+1)+IFERROR(MATCH(V122,{"C","C#","D","D#","E","F","F#","G","G#","A","A#","B"},0)-1,MATCH(V122,{"C","Db","D","Eb","E","F","Gb","G","Ab","A","Bb","B"},0)-1)-69)/12),2),""))</f>
        <v/>
      </c>
      <c r="AG122" s="36" t="n"/>
      <c r="AH122" s="36" t="n"/>
      <c r="AI122" s="36" t="n"/>
      <c r="AJ122" s="36" t="inlineStr">
        <is>
          <t>Low</t>
        </is>
      </c>
      <c r="AK122" s="36" t="inlineStr">
        <is>
          <t>Low</t>
        </is>
      </c>
      <c r="AL122" s="35" t="n"/>
    </row>
    <row r="123">
      <c r="A123" s="35" t="inlineStr">
        <is>
          <t>TEST_013</t>
        </is>
      </c>
      <c r="B123" s="35" t="n">
        <v>1</v>
      </c>
      <c r="C123" s="36" t="n"/>
      <c r="D123" s="36" t="n"/>
      <c r="E123" s="36" t="n"/>
      <c r="F123" s="36" t="n">
        <v>5.7</v>
      </c>
      <c r="G123" s="36" t="n">
        <v>0.09</v>
      </c>
      <c r="H123" s="36" t="n"/>
      <c r="I123" s="36" t="n"/>
      <c r="J123" s="36" t="n"/>
      <c r="K123" s="36" t="n">
        <v>6.3</v>
      </c>
      <c r="L123" s="36" t="n">
        <v>0.38</v>
      </c>
      <c r="M123" s="36" t="n"/>
      <c r="N123" s="36" t="inlineStr">
        <is>
          <t>N/A</t>
        </is>
      </c>
      <c r="O123" s="36" t="inlineStr">
        <is>
          <t>N/A</t>
        </is>
      </c>
      <c r="P123" s="36" t="inlineStr">
        <is>
          <t>D3</t>
        </is>
      </c>
      <c r="Q123" s="36" t="inlineStr">
        <is>
          <t>C3</t>
        </is>
      </c>
      <c r="R123" s="38">
        <f>IF(M123="","",LEFT(M123,LEN(M123)-1))</f>
        <v/>
      </c>
      <c r="S123" s="38">
        <f>IF(N123="","",LEFT(N123,LEN(N123)-1))</f>
        <v/>
      </c>
      <c r="T123" s="38">
        <f>IF(O123="","",LEFT(O123,LEN(O123)-1))</f>
        <v/>
      </c>
      <c r="U123" s="38">
        <f>IF(P123="","",LEFT(P123,LEN(P123)-1))</f>
        <v/>
      </c>
      <c r="V123" s="38">
        <f>IF(Q123="","",LEFT(Q123,LEN(Q123)-1))</f>
        <v/>
      </c>
      <c r="W123" s="38">
        <f>IF(M123="","",IFERROR(VALUE(RIGHT(M123,1)),""))</f>
        <v/>
      </c>
      <c r="X123" s="38">
        <f>IF(N123="","",IFERROR(VALUE(RIGHT(N123,1)),""))</f>
        <v/>
      </c>
      <c r="Y123" s="38">
        <f>IF(O123="","",IFERROR(VALUE(RIGHT(O123,1)),""))</f>
        <v/>
      </c>
      <c r="Z123" s="38">
        <f>IF(P123="","",IFERROR(VALUE(RIGHT(P123,1)),""))</f>
        <v/>
      </c>
      <c r="AA123" s="38">
        <f>IF(Q123="","",IFERROR(VALUE(RIGHT(Q123,1)),""))</f>
        <v/>
      </c>
      <c r="AB123" s="38">
        <f>IF(OR(M123="",W123=""),"",IFERROR(ROUND(440*2^((12*(W123+1)+IFERROR(MATCH(R123,{"C","C#","D","D#","E","F","F#","G","G#","A","A#","B"},0)-1,MATCH(R123,{"C","Db","D","Eb","E","F","Gb","G","Ab","A","Bb","B"},0)-1)-69)/12),2),""))</f>
        <v/>
      </c>
      <c r="AC123" s="38">
        <f>IF(OR(N123="",X123=""),"",IFERROR(ROUND(440*2^((12*(X123+1)+IFERROR(MATCH(S123,{"C","C#","D","D#","E","F","F#","G","G#","A","A#","B"},0)-1,MATCH(S123,{"C","Db","D","Eb","E","F","Gb","G","Ab","A","Bb","B"},0)-1)-69)/12),2),""))</f>
        <v/>
      </c>
      <c r="AD123" s="38">
        <f>IF(OR(O123="",Y123=""),"",IFERROR(ROUND(440*2^((12*(Y123+1)+IFERROR(MATCH(T123,{"C","C#","D","D#","E","F","F#","G","G#","A","A#","B"},0)-1,MATCH(T123,{"C","Db","D","Eb","E","F","Gb","G","Ab","A","Bb","B"},0)-1)-69)/12),2),""))</f>
        <v/>
      </c>
      <c r="AE123" s="38">
        <f>IF(OR(P123="",Z123=""),"",IFERROR(ROUND(440*2^((12*(Z123+1)+IFERROR(MATCH(U123,{"C","C#","D","D#","E","F","F#","G","G#","A","A#","B"},0)-1,MATCH(U123,{"C","Db","D","Eb","E","F","Gb","G","Ab","A","Bb","B"},0)-1)-69)/12),2),""))</f>
        <v/>
      </c>
      <c r="AF123" s="38">
        <f>IF(OR(Q123="",AA123=""),"",IFERROR(ROUND(440*2^((12*(AA123+1)+IFERROR(MATCH(V123,{"C","C#","D","D#","E","F","F#","G","G#","A","A#","B"},0)-1,MATCH(V123,{"C","Db","D","Eb","E","F","Gb","G","Ab","A","Bb","B"},0)-1)-69)/12),2),""))</f>
        <v/>
      </c>
      <c r="AG123" s="36" t="n"/>
      <c r="AH123" s="36" t="n"/>
      <c r="AI123" s="36" t="n"/>
      <c r="AJ123" s="36" t="inlineStr">
        <is>
          <t>Low</t>
        </is>
      </c>
      <c r="AK123" s="36" t="inlineStr">
        <is>
          <t>Low</t>
        </is>
      </c>
      <c r="AL12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24">
      <c r="A124" s="35" t="inlineStr">
        <is>
          <t>TEST_013</t>
        </is>
      </c>
      <c r="B124" s="35" t="n">
        <v>2</v>
      </c>
      <c r="C124" s="36" t="n"/>
      <c r="D124" s="36" t="n"/>
      <c r="E124" s="36" t="n"/>
      <c r="F124" s="36" t="n">
        <v>6.51</v>
      </c>
      <c r="G124" s="36" t="n">
        <v>1.85</v>
      </c>
      <c r="H124" s="36" t="n"/>
      <c r="I124" s="36" t="n"/>
      <c r="J124" s="36" t="n"/>
      <c r="K124" s="36" t="n">
        <v>6.85</v>
      </c>
      <c r="L124" s="36" t="n">
        <v>2.02</v>
      </c>
      <c r="M124" s="36" t="n"/>
      <c r="N124" s="36" t="n"/>
      <c r="O124" s="36" t="n"/>
      <c r="P124" s="36" t="inlineStr">
        <is>
          <t>G3</t>
        </is>
      </c>
      <c r="Q124" s="36" t="inlineStr">
        <is>
          <t>C3</t>
        </is>
      </c>
      <c r="R124" s="38">
        <f>IF(M124="","",LEFT(M124,LEN(M124)-1))</f>
        <v/>
      </c>
      <c r="S124" s="38">
        <f>IF(N124="","",LEFT(N124,LEN(N124)-1))</f>
        <v/>
      </c>
      <c r="T124" s="38">
        <f>IF(O124="","",LEFT(O124,LEN(O124)-1))</f>
        <v/>
      </c>
      <c r="U124" s="38">
        <f>IF(P124="","",LEFT(P124,LEN(P124)-1))</f>
        <v/>
      </c>
      <c r="V124" s="38">
        <f>IF(Q124="","",LEFT(Q124,LEN(Q124)-1))</f>
        <v/>
      </c>
      <c r="W124" s="38">
        <f>IF(M124="","",IFERROR(VALUE(RIGHT(M124,1)),""))</f>
        <v/>
      </c>
      <c r="X124" s="38">
        <f>IF(N124="","",IFERROR(VALUE(RIGHT(N124,1)),""))</f>
        <v/>
      </c>
      <c r="Y124" s="38">
        <f>IF(O124="","",IFERROR(VALUE(RIGHT(O124,1)),""))</f>
        <v/>
      </c>
      <c r="Z124" s="38">
        <f>IF(P124="","",IFERROR(VALUE(RIGHT(P124,1)),""))</f>
        <v/>
      </c>
      <c r="AA124" s="38">
        <f>IF(Q124="","",IFERROR(VALUE(RIGHT(Q124,1)),""))</f>
        <v/>
      </c>
      <c r="AB124" s="38">
        <f>IF(OR(M124="",W124=""),"",IFERROR(ROUND(440*2^((12*(W124+1)+IFERROR(MATCH(R124,{"C","C#","D","D#","E","F","F#","G","G#","A","A#","B"},0)-1,MATCH(R124,{"C","Db","D","Eb","E","F","Gb","G","Ab","A","Bb","B"},0)-1)-69)/12),2),""))</f>
        <v/>
      </c>
      <c r="AC124" s="38">
        <f>IF(OR(N124="",X124=""),"",IFERROR(ROUND(440*2^((12*(X124+1)+IFERROR(MATCH(S124,{"C","C#","D","D#","E","F","F#","G","G#","A","A#","B"},0)-1,MATCH(S124,{"C","Db","D","Eb","E","F","Gb","G","Ab","A","Bb","B"},0)-1)-69)/12),2),""))</f>
        <v/>
      </c>
      <c r="AD124" s="38">
        <f>IF(OR(O124="",Y124=""),"",IFERROR(ROUND(440*2^((12*(Y124+1)+IFERROR(MATCH(T124,{"C","C#","D","D#","E","F","F#","G","G#","A","A#","B"},0)-1,MATCH(T124,{"C","Db","D","Eb","E","F","Gb","G","Ab","A","Bb","B"},0)-1)-69)/12),2),""))</f>
        <v/>
      </c>
      <c r="AE124" s="38">
        <f>IF(OR(P124="",Z124=""),"",IFERROR(ROUND(440*2^((12*(Z124+1)+IFERROR(MATCH(U124,{"C","C#","D","D#","E","F","F#","G","G#","A","A#","B"},0)-1,MATCH(U124,{"C","Db","D","Eb","E","F","Gb","G","Ab","A","Bb","B"},0)-1)-69)/12),2),""))</f>
        <v/>
      </c>
      <c r="AF124" s="38">
        <f>IF(OR(Q124="",AA124=""),"",IFERROR(ROUND(440*2^((12*(AA124+1)+IFERROR(MATCH(V124,{"C","C#","D","D#","E","F","F#","G","G#","A","A#","B"},0)-1,MATCH(V124,{"C","Db","D","Eb","E","F","Gb","G","Ab","A","Bb","B"},0)-1)-69)/12),2),""))</f>
        <v/>
      </c>
      <c r="AG124" s="36" t="n"/>
      <c r="AH124" s="36" t="n"/>
      <c r="AI124" s="36" t="n"/>
      <c r="AJ124" s="36" t="inlineStr">
        <is>
          <t>Low</t>
        </is>
      </c>
      <c r="AK124" s="36" t="inlineStr">
        <is>
          <t>Low</t>
        </is>
      </c>
      <c r="AL124" s="35" t="n"/>
    </row>
    <row r="125">
      <c r="A125" s="35" t="inlineStr">
        <is>
          <t>TEST_013</t>
        </is>
      </c>
      <c r="B125" s="35" t="n">
        <v>3</v>
      </c>
      <c r="C125" s="36" t="n"/>
      <c r="D125" s="36" t="n"/>
      <c r="E125" s="36" t="n"/>
      <c r="F125" s="36" t="n">
        <v>7.22</v>
      </c>
      <c r="G125" s="36" t="n">
        <v>3.56</v>
      </c>
      <c r="H125" s="36" t="n"/>
      <c r="I125" s="36" t="n"/>
      <c r="J125" s="36" t="n"/>
      <c r="K125" s="36" t="n">
        <v>7.77</v>
      </c>
      <c r="L125" s="36" t="n">
        <v>3.73</v>
      </c>
      <c r="M125" s="36" t="n"/>
      <c r="N125" s="36" t="n"/>
      <c r="O125" s="36" t="n"/>
      <c r="P125" s="36" t="inlineStr">
        <is>
          <t>C3</t>
        </is>
      </c>
      <c r="Q125" s="36" t="inlineStr">
        <is>
          <t>F#2</t>
        </is>
      </c>
      <c r="R125" s="38">
        <f>IF(M125="","",LEFT(M125,LEN(M125)-1))</f>
        <v/>
      </c>
      <c r="S125" s="38">
        <f>IF(N125="","",LEFT(N125,LEN(N125)-1))</f>
        <v/>
      </c>
      <c r="T125" s="38">
        <f>IF(O125="","",LEFT(O125,LEN(O125)-1))</f>
        <v/>
      </c>
      <c r="U125" s="38">
        <f>IF(P125="","",LEFT(P125,LEN(P125)-1))</f>
        <v/>
      </c>
      <c r="V125" s="38">
        <f>IF(Q125="","",LEFT(Q125,LEN(Q125)-1))</f>
        <v/>
      </c>
      <c r="W125" s="38">
        <f>IF(M125="","",IFERROR(VALUE(RIGHT(M125,1)),""))</f>
        <v/>
      </c>
      <c r="X125" s="38">
        <f>IF(N125="","",IFERROR(VALUE(RIGHT(N125,1)),""))</f>
        <v/>
      </c>
      <c r="Y125" s="38">
        <f>IF(O125="","",IFERROR(VALUE(RIGHT(O125,1)),""))</f>
        <v/>
      </c>
      <c r="Z125" s="38">
        <f>IF(P125="","",IFERROR(VALUE(RIGHT(P125,1)),""))</f>
        <v/>
      </c>
      <c r="AA125" s="38">
        <f>IF(Q125="","",IFERROR(VALUE(RIGHT(Q125,1)),""))</f>
        <v/>
      </c>
      <c r="AB125" s="38">
        <f>IF(OR(M125="",W125=""),"",IFERROR(ROUND(440*2^((12*(W125+1)+IFERROR(MATCH(R125,{"C","C#","D","D#","E","F","F#","G","G#","A","A#","B"},0)-1,MATCH(R125,{"C","Db","D","Eb","E","F","Gb","G","Ab","A","Bb","B"},0)-1)-69)/12),2),""))</f>
        <v/>
      </c>
      <c r="AC125" s="38">
        <f>IF(OR(N125="",X125=""),"",IFERROR(ROUND(440*2^((12*(X125+1)+IFERROR(MATCH(S125,{"C","C#","D","D#","E","F","F#","G","G#","A","A#","B"},0)-1,MATCH(S125,{"C","Db","D","Eb","E","F","Gb","G","Ab","A","Bb","B"},0)-1)-69)/12),2),""))</f>
        <v/>
      </c>
      <c r="AD125" s="38">
        <f>IF(OR(O125="",Y125=""),"",IFERROR(ROUND(440*2^((12*(Y125+1)+IFERROR(MATCH(T125,{"C","C#","D","D#","E","F","F#","G","G#","A","A#","B"},0)-1,MATCH(T125,{"C","Db","D","Eb","E","F","Gb","G","Ab","A","Bb","B"},0)-1)-69)/12),2),""))</f>
        <v/>
      </c>
      <c r="AE125" s="38">
        <f>IF(OR(P125="",Z125=""),"",IFERROR(ROUND(440*2^((12*(Z125+1)+IFERROR(MATCH(U125,{"C","C#","D","D#","E","F","F#","G","G#","A","A#","B"},0)-1,MATCH(U125,{"C","Db","D","Eb","E","F","Gb","G","Ab","A","Bb","B"},0)-1)-69)/12),2),""))</f>
        <v/>
      </c>
      <c r="AF125" s="38">
        <f>IF(OR(Q125="",AA125=""),"",IFERROR(ROUND(440*2^((12*(AA125+1)+IFERROR(MATCH(V125,{"C","C#","D","D#","E","F","F#","G","G#","A","A#","B"},0)-1,MATCH(V125,{"C","Db","D","Eb","E","F","Gb","G","Ab","A","Bb","B"},0)-1)-69)/12),2),""))</f>
        <v/>
      </c>
      <c r="AG125" s="36" t="n"/>
      <c r="AH125" s="36" t="n"/>
      <c r="AI125" s="36" t="n"/>
      <c r="AJ125" s="36" t="inlineStr">
        <is>
          <t>Low</t>
        </is>
      </c>
      <c r="AK125" s="36" t="inlineStr">
        <is>
          <t>Low</t>
        </is>
      </c>
      <c r="AL125" s="35" t="n"/>
    </row>
    <row r="126">
      <c r="A126" s="35" t="inlineStr">
        <is>
          <t>TEST_013</t>
        </is>
      </c>
      <c r="B126" s="35" t="n">
        <v>4</v>
      </c>
      <c r="C126" s="36" t="n"/>
      <c r="D126" s="36" t="n"/>
      <c r="E126" s="36" t="n"/>
      <c r="F126" s="36" t="n">
        <v>7.78</v>
      </c>
      <c r="G126" s="36" t="n">
        <v>4.76</v>
      </c>
      <c r="H126" s="36" t="n"/>
      <c r="I126" s="36" t="n"/>
      <c r="J126" s="36" t="n"/>
      <c r="K126" s="36" t="n">
        <v>7.95</v>
      </c>
      <c r="L126" s="36" t="n">
        <v>5</v>
      </c>
      <c r="M126" s="36" t="n"/>
      <c r="N126" s="36" t="n"/>
      <c r="O126" s="36" t="n"/>
      <c r="P126" s="36" t="inlineStr">
        <is>
          <t>C3</t>
        </is>
      </c>
      <c r="Q126" s="36" t="inlineStr">
        <is>
          <t>C3</t>
        </is>
      </c>
      <c r="R126" s="38">
        <f>IF(M126="","",LEFT(M126,LEN(M126)-1))</f>
        <v/>
      </c>
      <c r="S126" s="38">
        <f>IF(N126="","",LEFT(N126,LEN(N126)-1))</f>
        <v/>
      </c>
      <c r="T126" s="38">
        <f>IF(O126="","",LEFT(O126,LEN(O126)-1))</f>
        <v/>
      </c>
      <c r="U126" s="38">
        <f>IF(P126="","",LEFT(P126,LEN(P126)-1))</f>
        <v/>
      </c>
      <c r="V126" s="38">
        <f>IF(Q126="","",LEFT(Q126,LEN(Q126)-1))</f>
        <v/>
      </c>
      <c r="W126" s="38">
        <f>IF(M126="","",IFERROR(VALUE(RIGHT(M126,1)),""))</f>
        <v/>
      </c>
      <c r="X126" s="38">
        <f>IF(N126="","",IFERROR(VALUE(RIGHT(N126,1)),""))</f>
        <v/>
      </c>
      <c r="Y126" s="38">
        <f>IF(O126="","",IFERROR(VALUE(RIGHT(O126,1)),""))</f>
        <v/>
      </c>
      <c r="Z126" s="38">
        <f>IF(P126="","",IFERROR(VALUE(RIGHT(P126,1)),""))</f>
        <v/>
      </c>
      <c r="AA126" s="38">
        <f>IF(Q126="","",IFERROR(VALUE(RIGHT(Q126,1)),""))</f>
        <v/>
      </c>
      <c r="AB126" s="38">
        <f>IF(OR(M126="",W126=""),"",IFERROR(ROUND(440*2^((12*(W126+1)+IFERROR(MATCH(R126,{"C","C#","D","D#","E","F","F#","G","G#","A","A#","B"},0)-1,MATCH(R126,{"C","Db","D","Eb","E","F","Gb","G","Ab","A","Bb","B"},0)-1)-69)/12),2),""))</f>
        <v/>
      </c>
      <c r="AC126" s="38">
        <f>IF(OR(N126="",X126=""),"",IFERROR(ROUND(440*2^((12*(X126+1)+IFERROR(MATCH(S126,{"C","C#","D","D#","E","F","F#","G","G#","A","A#","B"},0)-1,MATCH(S126,{"C","Db","D","Eb","E","F","Gb","G","Ab","A","Bb","B"},0)-1)-69)/12),2),""))</f>
        <v/>
      </c>
      <c r="AD126" s="38">
        <f>IF(OR(O126="",Y126=""),"",IFERROR(ROUND(440*2^((12*(Y126+1)+IFERROR(MATCH(T126,{"C","C#","D","D#","E","F","F#","G","G#","A","A#","B"},0)-1,MATCH(T126,{"C","Db","D","Eb","E","F","Gb","G","Ab","A","Bb","B"},0)-1)-69)/12),2),""))</f>
        <v/>
      </c>
      <c r="AE126" s="38">
        <f>IF(OR(P126="",Z126=""),"",IFERROR(ROUND(440*2^((12*(Z126+1)+IFERROR(MATCH(U126,{"C","C#","D","D#","E","F","F#","G","G#","A","A#","B"},0)-1,MATCH(U126,{"C","Db","D","Eb","E","F","Gb","G","Ab","A","Bb","B"},0)-1)-69)/12),2),""))</f>
        <v/>
      </c>
      <c r="AF126" s="38">
        <f>IF(OR(Q126="",AA126=""),"",IFERROR(ROUND(440*2^((12*(AA126+1)+IFERROR(MATCH(V126,{"C","C#","D","D#","E","F","F#","G","G#","A","A#","B"},0)-1,MATCH(V126,{"C","Db","D","Eb","E","F","Gb","G","Ab","A","Bb","B"},0)-1)-69)/12),2),""))</f>
        <v/>
      </c>
      <c r="AG126" s="36" t="n"/>
      <c r="AH126" s="36" t="n"/>
      <c r="AI126" s="36" t="n"/>
      <c r="AJ126" s="36" t="inlineStr">
        <is>
          <t>Low</t>
        </is>
      </c>
      <c r="AK126" s="36" t="inlineStr">
        <is>
          <t>Low</t>
        </is>
      </c>
      <c r="AL126" s="35" t="n"/>
    </row>
    <row r="127">
      <c r="A127" s="35" t="inlineStr">
        <is>
          <t>TEST_013</t>
        </is>
      </c>
      <c r="B127" s="35" t="n">
        <v>5</v>
      </c>
      <c r="C127" s="36" t="n"/>
      <c r="D127" s="36" t="n"/>
      <c r="E127" s="36" t="n"/>
      <c r="F127" s="36" t="n">
        <v>8.029999999999999</v>
      </c>
      <c r="G127" s="36" t="n">
        <v>5.12</v>
      </c>
      <c r="H127" s="36" t="n"/>
      <c r="I127" s="36" t="n"/>
      <c r="J127" s="36" t="n"/>
      <c r="K127" s="36" t="n">
        <v>8.210000000000001</v>
      </c>
      <c r="L127" s="36" t="n">
        <v>5.46</v>
      </c>
      <c r="M127" s="36" t="n"/>
      <c r="N127" s="36" t="n"/>
      <c r="O127" s="36" t="n"/>
      <c r="P127" s="36" t="inlineStr">
        <is>
          <t>G3</t>
        </is>
      </c>
      <c r="Q127" s="36" t="inlineStr">
        <is>
          <t>A2</t>
        </is>
      </c>
      <c r="R127" s="38">
        <f>IF(M127="","",LEFT(M127,LEN(M127)-1))</f>
        <v/>
      </c>
      <c r="S127" s="38">
        <f>IF(N127="","",LEFT(N127,LEN(N127)-1))</f>
        <v/>
      </c>
      <c r="T127" s="38">
        <f>IF(O127="","",LEFT(O127,LEN(O127)-1))</f>
        <v/>
      </c>
      <c r="U127" s="38">
        <f>IF(P127="","",LEFT(P127,LEN(P127)-1))</f>
        <v/>
      </c>
      <c r="V127" s="38">
        <f>IF(Q127="","",LEFT(Q127,LEN(Q127)-1))</f>
        <v/>
      </c>
      <c r="W127" s="38">
        <f>IF(M127="","",IFERROR(VALUE(RIGHT(M127,1)),""))</f>
        <v/>
      </c>
      <c r="X127" s="38">
        <f>IF(N127="","",IFERROR(VALUE(RIGHT(N127,1)),""))</f>
        <v/>
      </c>
      <c r="Y127" s="38">
        <f>IF(O127="","",IFERROR(VALUE(RIGHT(O127,1)),""))</f>
        <v/>
      </c>
      <c r="Z127" s="38">
        <f>IF(P127="","",IFERROR(VALUE(RIGHT(P127,1)),""))</f>
        <v/>
      </c>
      <c r="AA127" s="38">
        <f>IF(Q127="","",IFERROR(VALUE(RIGHT(Q127,1)),""))</f>
        <v/>
      </c>
      <c r="AB127" s="38">
        <f>IF(OR(M127="",W127=""),"",IFERROR(ROUND(440*2^((12*(W127+1)+IFERROR(MATCH(R127,{"C","C#","D","D#","E","F","F#","G","G#","A","A#","B"},0)-1,MATCH(R127,{"C","Db","D","Eb","E","F","Gb","G","Ab","A","Bb","B"},0)-1)-69)/12),2),""))</f>
        <v/>
      </c>
      <c r="AC127" s="38">
        <f>IF(OR(N127="",X127=""),"",IFERROR(ROUND(440*2^((12*(X127+1)+IFERROR(MATCH(S127,{"C","C#","D","D#","E","F","F#","G","G#","A","A#","B"},0)-1,MATCH(S127,{"C","Db","D","Eb","E","F","Gb","G","Ab","A","Bb","B"},0)-1)-69)/12),2),""))</f>
        <v/>
      </c>
      <c r="AD127" s="38">
        <f>IF(OR(O127="",Y127=""),"",IFERROR(ROUND(440*2^((12*(Y127+1)+IFERROR(MATCH(T127,{"C","C#","D","D#","E","F","F#","G","G#","A","A#","B"},0)-1,MATCH(T127,{"C","Db","D","Eb","E","F","Gb","G","Ab","A","Bb","B"},0)-1)-69)/12),2),""))</f>
        <v/>
      </c>
      <c r="AE127" s="38">
        <f>IF(OR(P127="",Z127=""),"",IFERROR(ROUND(440*2^((12*(Z127+1)+IFERROR(MATCH(U127,{"C","C#","D","D#","E","F","F#","G","G#","A","A#","B"},0)-1,MATCH(U127,{"C","Db","D","Eb","E","F","Gb","G","Ab","A","Bb","B"},0)-1)-69)/12),2),""))</f>
        <v/>
      </c>
      <c r="AF127" s="38">
        <f>IF(OR(Q127="",AA127=""),"",IFERROR(ROUND(440*2^((12*(AA127+1)+IFERROR(MATCH(V127,{"C","C#","D","D#","E","F","F#","G","G#","A","A#","B"},0)-1,MATCH(V127,{"C","Db","D","Eb","E","F","Gb","G","Ab","A","Bb","B"},0)-1)-69)/12),2),""))</f>
        <v/>
      </c>
      <c r="AG127" s="36" t="n"/>
      <c r="AH127" s="36" t="n"/>
      <c r="AI127" s="36" t="n"/>
      <c r="AJ127" s="36" t="inlineStr">
        <is>
          <t>Low</t>
        </is>
      </c>
      <c r="AK127" s="36" t="inlineStr">
        <is>
          <t>Medium</t>
        </is>
      </c>
      <c r="AL127" s="35" t="n"/>
    </row>
    <row r="128">
      <c r="A128" s="35" t="inlineStr">
        <is>
          <t>TEST_013</t>
        </is>
      </c>
      <c r="B128" s="35" t="n">
        <v>6</v>
      </c>
      <c r="C128" s="36" t="n"/>
      <c r="D128" s="36" t="n"/>
      <c r="E128" s="36" t="n"/>
      <c r="F128" s="36" t="n">
        <v>8.74</v>
      </c>
      <c r="G128" s="36" t="n">
        <v>5.54</v>
      </c>
      <c r="H128" s="36" t="n"/>
      <c r="I128" s="36" t="n"/>
      <c r="J128" s="36" t="n"/>
      <c r="K128" s="36" t="n">
        <v>8.9</v>
      </c>
      <c r="L128" s="36" t="n">
        <v>5.67</v>
      </c>
      <c r="M128" s="36" t="n"/>
      <c r="N128" s="36" t="n"/>
      <c r="O128" s="36" t="n"/>
      <c r="P128" s="36" t="inlineStr">
        <is>
          <t>A#4</t>
        </is>
      </c>
      <c r="Q128" s="36" t="inlineStr">
        <is>
          <t>A2</t>
        </is>
      </c>
      <c r="R128" s="38">
        <f>IF(M128="","",LEFT(M128,LEN(M128)-1))</f>
        <v/>
      </c>
      <c r="S128" s="38">
        <f>IF(N128="","",LEFT(N128,LEN(N128)-1))</f>
        <v/>
      </c>
      <c r="T128" s="38">
        <f>IF(O128="","",LEFT(O128,LEN(O128)-1))</f>
        <v/>
      </c>
      <c r="U128" s="38">
        <f>IF(P128="","",LEFT(P128,LEN(P128)-1))</f>
        <v/>
      </c>
      <c r="V128" s="38">
        <f>IF(Q128="","",LEFT(Q128,LEN(Q128)-1))</f>
        <v/>
      </c>
      <c r="W128" s="38">
        <f>IF(M128="","",IFERROR(VALUE(RIGHT(M128,1)),""))</f>
        <v/>
      </c>
      <c r="X128" s="38">
        <f>IF(N128="","",IFERROR(VALUE(RIGHT(N128,1)),""))</f>
        <v/>
      </c>
      <c r="Y128" s="38">
        <f>IF(O128="","",IFERROR(VALUE(RIGHT(O128,1)),""))</f>
        <v/>
      </c>
      <c r="Z128" s="38">
        <f>IF(P128="","",IFERROR(VALUE(RIGHT(P128,1)),""))</f>
        <v/>
      </c>
      <c r="AA128" s="38">
        <f>IF(Q128="","",IFERROR(VALUE(RIGHT(Q128,1)),""))</f>
        <v/>
      </c>
      <c r="AB128" s="38">
        <f>IF(OR(M128="",W128=""),"",IFERROR(ROUND(440*2^((12*(W128+1)+IFERROR(MATCH(R128,{"C","C#","D","D#","E","F","F#","G","G#","A","A#","B"},0)-1,MATCH(R128,{"C","Db","D","Eb","E","F","Gb","G","Ab","A","Bb","B"},0)-1)-69)/12),2),""))</f>
        <v/>
      </c>
      <c r="AC128" s="38">
        <f>IF(OR(N128="",X128=""),"",IFERROR(ROUND(440*2^((12*(X128+1)+IFERROR(MATCH(S128,{"C","C#","D","D#","E","F","F#","G","G#","A","A#","B"},0)-1,MATCH(S128,{"C","Db","D","Eb","E","F","Gb","G","Ab","A","Bb","B"},0)-1)-69)/12),2),""))</f>
        <v/>
      </c>
      <c r="AD128" s="38">
        <f>IF(OR(O128="",Y128=""),"",IFERROR(ROUND(440*2^((12*(Y128+1)+IFERROR(MATCH(T128,{"C","C#","D","D#","E","F","F#","G","G#","A","A#","B"},0)-1,MATCH(T128,{"C","Db","D","Eb","E","F","Gb","G","Ab","A","Bb","B"},0)-1)-69)/12),2),""))</f>
        <v/>
      </c>
      <c r="AE128" s="38">
        <f>IF(OR(P128="",Z128=""),"",IFERROR(ROUND(440*2^((12*(Z128+1)+IFERROR(MATCH(U128,{"C","C#","D","D#","E","F","F#","G","G#","A","A#","B"},0)-1,MATCH(U128,{"C","Db","D","Eb","E","F","Gb","G","Ab","A","Bb","B"},0)-1)-69)/12),2),""))</f>
        <v/>
      </c>
      <c r="AF128" s="38">
        <f>IF(OR(Q128="",AA128=""),"",IFERROR(ROUND(440*2^((12*(AA128+1)+IFERROR(MATCH(V128,{"C","C#","D","D#","E","F","F#","G","G#","A","A#","B"},0)-1,MATCH(V128,{"C","Db","D","Eb","E","F","Gb","G","Ab","A","Bb","B"},0)-1)-69)/12),2),""))</f>
        <v/>
      </c>
      <c r="AG128" s="36" t="n"/>
      <c r="AH128" s="36" t="n"/>
      <c r="AI128" s="36" t="n"/>
      <c r="AJ128" s="36" t="inlineStr">
        <is>
          <t>Low</t>
        </is>
      </c>
      <c r="AK128" s="36" t="inlineStr">
        <is>
          <t>Low</t>
        </is>
      </c>
      <c r="AL128" s="35" t="n"/>
    </row>
    <row r="129">
      <c r="A129" s="35" t="inlineStr">
        <is>
          <t>TEST_013</t>
        </is>
      </c>
      <c r="B129" s="35" t="n">
        <v>7</v>
      </c>
      <c r="C129" s="36" t="n"/>
      <c r="D129" s="36" t="n"/>
      <c r="E129" s="36" t="n"/>
      <c r="F129" s="36" t="n">
        <v>8.91</v>
      </c>
      <c r="G129" s="36" t="n">
        <v>5.69</v>
      </c>
      <c r="H129" s="36" t="n"/>
      <c r="I129" s="36" t="n"/>
      <c r="J129" s="36" t="n"/>
      <c r="K129" s="36" t="n">
        <v>9.09</v>
      </c>
      <c r="L129" s="36" t="n">
        <v>6</v>
      </c>
      <c r="M129" s="36" t="n"/>
      <c r="N129" s="36" t="n"/>
      <c r="O129" s="36" t="n"/>
      <c r="P129" s="36" t="inlineStr">
        <is>
          <t>B4</t>
        </is>
      </c>
      <c r="Q129" s="36" t="inlineStr">
        <is>
          <t>D3</t>
        </is>
      </c>
      <c r="R129" s="38">
        <f>IF(M129="","",LEFT(M129,LEN(M129)-1))</f>
        <v/>
      </c>
      <c r="S129" s="38">
        <f>IF(N129="","",LEFT(N129,LEN(N129)-1))</f>
        <v/>
      </c>
      <c r="T129" s="38">
        <f>IF(O129="","",LEFT(O129,LEN(O129)-1))</f>
        <v/>
      </c>
      <c r="U129" s="38">
        <f>IF(P129="","",LEFT(P129,LEN(P129)-1))</f>
        <v/>
      </c>
      <c r="V129" s="38">
        <f>IF(Q129="","",LEFT(Q129,LEN(Q129)-1))</f>
        <v/>
      </c>
      <c r="W129" s="38">
        <f>IF(M129="","",IFERROR(VALUE(RIGHT(M129,1)),""))</f>
        <v/>
      </c>
      <c r="X129" s="38">
        <f>IF(N129="","",IFERROR(VALUE(RIGHT(N129,1)),""))</f>
        <v/>
      </c>
      <c r="Y129" s="38">
        <f>IF(O129="","",IFERROR(VALUE(RIGHT(O129,1)),""))</f>
        <v/>
      </c>
      <c r="Z129" s="38">
        <f>IF(P129="","",IFERROR(VALUE(RIGHT(P129,1)),""))</f>
        <v/>
      </c>
      <c r="AA129" s="38">
        <f>IF(Q129="","",IFERROR(VALUE(RIGHT(Q129,1)),""))</f>
        <v/>
      </c>
      <c r="AB129" s="38">
        <f>IF(OR(M129="",W129=""),"",IFERROR(ROUND(440*2^((12*(W129+1)+IFERROR(MATCH(R129,{"C","C#","D","D#","E","F","F#","G","G#","A","A#","B"},0)-1,MATCH(R129,{"C","Db","D","Eb","E","F","Gb","G","Ab","A","Bb","B"},0)-1)-69)/12),2),""))</f>
        <v/>
      </c>
      <c r="AC129" s="38">
        <f>IF(OR(N129="",X129=""),"",IFERROR(ROUND(440*2^((12*(X129+1)+IFERROR(MATCH(S129,{"C","C#","D","D#","E","F","F#","G","G#","A","A#","B"},0)-1,MATCH(S129,{"C","Db","D","Eb","E","F","Gb","G","Ab","A","Bb","B"},0)-1)-69)/12),2),""))</f>
        <v/>
      </c>
      <c r="AD129" s="38">
        <f>IF(OR(O129="",Y129=""),"",IFERROR(ROUND(440*2^((12*(Y129+1)+IFERROR(MATCH(T129,{"C","C#","D","D#","E","F","F#","G","G#","A","A#","B"},0)-1,MATCH(T129,{"C","Db","D","Eb","E","F","Gb","G","Ab","A","Bb","B"},0)-1)-69)/12),2),""))</f>
        <v/>
      </c>
      <c r="AE129" s="38">
        <f>IF(OR(P129="",Z129=""),"",IFERROR(ROUND(440*2^((12*(Z129+1)+IFERROR(MATCH(U129,{"C","C#","D","D#","E","F","F#","G","G#","A","A#","B"},0)-1,MATCH(U129,{"C","Db","D","Eb","E","F","Gb","G","Ab","A","Bb","B"},0)-1)-69)/12),2),""))</f>
        <v/>
      </c>
      <c r="AF129" s="38">
        <f>IF(OR(Q129="",AA129=""),"",IFERROR(ROUND(440*2^((12*(AA129+1)+IFERROR(MATCH(V129,{"C","C#","D","D#","E","F","F#","G","G#","A","A#","B"},0)-1,MATCH(V129,{"C","Db","D","Eb","E","F","Gb","G","Ab","A","Bb","B"},0)-1)-69)/12),2),""))</f>
        <v/>
      </c>
      <c r="AG129" s="36" t="n"/>
      <c r="AH129" s="36" t="n"/>
      <c r="AI129" s="36" t="n"/>
      <c r="AJ129" s="36" t="inlineStr">
        <is>
          <t>Low</t>
        </is>
      </c>
      <c r="AK129" s="36" t="inlineStr">
        <is>
          <t>Medium</t>
        </is>
      </c>
      <c r="AL129" s="35" t="n"/>
    </row>
    <row r="130">
      <c r="A130" s="35" t="inlineStr">
        <is>
          <t>TEST_013</t>
        </is>
      </c>
      <c r="B130" s="35" t="n">
        <v>8</v>
      </c>
      <c r="C130" s="36" t="n"/>
      <c r="D130" s="36" t="n"/>
      <c r="E130" s="36" t="n"/>
      <c r="F130" s="36" t="n">
        <v>9.66</v>
      </c>
      <c r="G130" s="36" t="n">
        <v>6.82</v>
      </c>
      <c r="H130" s="36" t="n"/>
      <c r="I130" s="36" t="n"/>
      <c r="J130" s="36" t="n"/>
      <c r="K130" s="36" t="n">
        <v>9.960000000000001</v>
      </c>
      <c r="L130" s="36" t="n">
        <v>7.71</v>
      </c>
      <c r="M130" s="36" t="n"/>
      <c r="N130" s="36" t="n"/>
      <c r="O130" s="36" t="n"/>
      <c r="P130" s="36" t="inlineStr">
        <is>
          <t>B4</t>
        </is>
      </c>
      <c r="Q130" s="36" t="inlineStr">
        <is>
          <t>C3</t>
        </is>
      </c>
      <c r="R130" s="38">
        <f>IF(M130="","",LEFT(M130,LEN(M130)-1))</f>
        <v/>
      </c>
      <c r="S130" s="38">
        <f>IF(N130="","",LEFT(N130,LEN(N130)-1))</f>
        <v/>
      </c>
      <c r="T130" s="38">
        <f>IF(O130="","",LEFT(O130,LEN(O130)-1))</f>
        <v/>
      </c>
      <c r="U130" s="38">
        <f>IF(P130="","",LEFT(P130,LEN(P130)-1))</f>
        <v/>
      </c>
      <c r="V130" s="38">
        <f>IF(Q130="","",LEFT(Q130,LEN(Q130)-1))</f>
        <v/>
      </c>
      <c r="W130" s="38">
        <f>IF(M130="","",IFERROR(VALUE(RIGHT(M130,1)),""))</f>
        <v/>
      </c>
      <c r="X130" s="38">
        <f>IF(N130="","",IFERROR(VALUE(RIGHT(N130,1)),""))</f>
        <v/>
      </c>
      <c r="Y130" s="38">
        <f>IF(O130="","",IFERROR(VALUE(RIGHT(O130,1)),""))</f>
        <v/>
      </c>
      <c r="Z130" s="38">
        <f>IF(P130="","",IFERROR(VALUE(RIGHT(P130,1)),""))</f>
        <v/>
      </c>
      <c r="AA130" s="38">
        <f>IF(Q130="","",IFERROR(VALUE(RIGHT(Q130,1)),""))</f>
        <v/>
      </c>
      <c r="AB130" s="38">
        <f>IF(OR(M130="",W130=""),"",IFERROR(ROUND(440*2^((12*(W130+1)+IFERROR(MATCH(R130,{"C","C#","D","D#","E","F","F#","G","G#","A","A#","B"},0)-1,MATCH(R130,{"C","Db","D","Eb","E","F","Gb","G","Ab","A","Bb","B"},0)-1)-69)/12),2),""))</f>
        <v/>
      </c>
      <c r="AC130" s="38">
        <f>IF(OR(N130="",X130=""),"",IFERROR(ROUND(440*2^((12*(X130+1)+IFERROR(MATCH(S130,{"C","C#","D","D#","E","F","F#","G","G#","A","A#","B"},0)-1,MATCH(S130,{"C","Db","D","Eb","E","F","Gb","G","Ab","A","Bb","B"},0)-1)-69)/12),2),""))</f>
        <v/>
      </c>
      <c r="AD130" s="38">
        <f>IF(OR(O130="",Y130=""),"",IFERROR(ROUND(440*2^((12*(Y130+1)+IFERROR(MATCH(T130,{"C","C#","D","D#","E","F","F#","G","G#","A","A#","B"},0)-1,MATCH(T130,{"C","Db","D","Eb","E","F","Gb","G","Ab","A","Bb","B"},0)-1)-69)/12),2),""))</f>
        <v/>
      </c>
      <c r="AE130" s="38">
        <f>IF(OR(P130="",Z130=""),"",IFERROR(ROUND(440*2^((12*(Z130+1)+IFERROR(MATCH(U130,{"C","C#","D","D#","E","F","F#","G","G#","A","A#","B"},0)-1,MATCH(U130,{"C","Db","D","Eb","E","F","Gb","G","Ab","A","Bb","B"},0)-1)-69)/12),2),""))</f>
        <v/>
      </c>
      <c r="AF130" s="38">
        <f>IF(OR(Q130="",AA130=""),"",IFERROR(ROUND(440*2^((12*(AA130+1)+IFERROR(MATCH(V130,{"C","C#","D","D#","E","F","F#","G","G#","A","A#","B"},0)-1,MATCH(V130,{"C","Db","D","Eb","E","F","Gb","G","Ab","A","Bb","B"},0)-1)-69)/12),2),""))</f>
        <v/>
      </c>
      <c r="AG130" s="36" t="n"/>
      <c r="AH130" s="36" t="n"/>
      <c r="AI130" s="36" t="n"/>
      <c r="AJ130" s="36" t="inlineStr">
        <is>
          <t>Low</t>
        </is>
      </c>
      <c r="AK130" s="36" t="inlineStr">
        <is>
          <t>Low</t>
        </is>
      </c>
      <c r="AL130" s="35" t="n"/>
    </row>
    <row r="131">
      <c r="A131" s="35" t="inlineStr">
        <is>
          <t>TEST_013</t>
        </is>
      </c>
      <c r="B131" s="35" t="n">
        <v>9</v>
      </c>
      <c r="C131" s="36" t="n"/>
      <c r="D131" s="36" t="n"/>
      <c r="E131" s="36" t="n"/>
      <c r="F131" s="36" t="n">
        <v>9.970000000000001</v>
      </c>
      <c r="G131" s="36" t="n">
        <v>8.68</v>
      </c>
      <c r="H131" s="36" t="n"/>
      <c r="I131" s="36" t="n"/>
      <c r="J131" s="36" t="n"/>
      <c r="K131" s="36" t="n">
        <v>10.14</v>
      </c>
      <c r="L131" s="36" t="n">
        <v>8.82</v>
      </c>
      <c r="M131" s="36" t="n"/>
      <c r="N131" s="36" t="n"/>
      <c r="O131" s="36" t="n"/>
      <c r="P131" s="36" t="inlineStr">
        <is>
          <t>E3</t>
        </is>
      </c>
      <c r="Q131" s="36" t="inlineStr">
        <is>
          <t>A2</t>
        </is>
      </c>
      <c r="R131" s="38">
        <f>IF(M131="","",LEFT(M131,LEN(M131)-1))</f>
        <v/>
      </c>
      <c r="S131" s="38">
        <f>IF(N131="","",LEFT(N131,LEN(N131)-1))</f>
        <v/>
      </c>
      <c r="T131" s="38">
        <f>IF(O131="","",LEFT(O131,LEN(O131)-1))</f>
        <v/>
      </c>
      <c r="U131" s="38">
        <f>IF(P131="","",LEFT(P131,LEN(P131)-1))</f>
        <v/>
      </c>
      <c r="V131" s="38">
        <f>IF(Q131="","",LEFT(Q131,LEN(Q131)-1))</f>
        <v/>
      </c>
      <c r="W131" s="38">
        <f>IF(M131="","",IFERROR(VALUE(RIGHT(M131,1)),""))</f>
        <v/>
      </c>
      <c r="X131" s="38">
        <f>IF(N131="","",IFERROR(VALUE(RIGHT(N131,1)),""))</f>
        <v/>
      </c>
      <c r="Y131" s="38">
        <f>IF(O131="","",IFERROR(VALUE(RIGHT(O131,1)),""))</f>
        <v/>
      </c>
      <c r="Z131" s="38">
        <f>IF(P131="","",IFERROR(VALUE(RIGHT(P131,1)),""))</f>
        <v/>
      </c>
      <c r="AA131" s="38">
        <f>IF(Q131="","",IFERROR(VALUE(RIGHT(Q131,1)),""))</f>
        <v/>
      </c>
      <c r="AB131" s="38">
        <f>IF(OR(M131="",W131=""),"",IFERROR(ROUND(440*2^((12*(W131+1)+IFERROR(MATCH(R131,{"C","C#","D","D#","E","F","F#","G","G#","A","A#","B"},0)-1,MATCH(R131,{"C","Db","D","Eb","E","F","Gb","G","Ab","A","Bb","B"},0)-1)-69)/12),2),""))</f>
        <v/>
      </c>
      <c r="AC131" s="38">
        <f>IF(OR(N131="",X131=""),"",IFERROR(ROUND(440*2^((12*(X131+1)+IFERROR(MATCH(S131,{"C","C#","D","D#","E","F","F#","G","G#","A","A#","B"},0)-1,MATCH(S131,{"C","Db","D","Eb","E","F","Gb","G","Ab","A","Bb","B"},0)-1)-69)/12),2),""))</f>
        <v/>
      </c>
      <c r="AD131" s="38">
        <f>IF(OR(O131="",Y131=""),"",IFERROR(ROUND(440*2^((12*(Y131+1)+IFERROR(MATCH(T131,{"C","C#","D","D#","E","F","F#","G","G#","A","A#","B"},0)-1,MATCH(T131,{"C","Db","D","Eb","E","F","Gb","G","Ab","A","Bb","B"},0)-1)-69)/12),2),""))</f>
        <v/>
      </c>
      <c r="AE131" s="38">
        <f>IF(OR(P131="",Z131=""),"",IFERROR(ROUND(440*2^((12*(Z131+1)+IFERROR(MATCH(U131,{"C","C#","D","D#","E","F","F#","G","G#","A","A#","B"},0)-1,MATCH(U131,{"C","Db","D","Eb","E","F","Gb","G","Ab","A","Bb","B"},0)-1)-69)/12),2),""))</f>
        <v/>
      </c>
      <c r="AF131" s="38">
        <f>IF(OR(Q131="",AA131=""),"",IFERROR(ROUND(440*2^((12*(AA131+1)+IFERROR(MATCH(V131,{"C","C#","D","D#","E","F","F#","G","G#","A","A#","B"},0)-1,MATCH(V131,{"C","Db","D","Eb","E","F","Gb","G","Ab","A","Bb","B"},0)-1)-69)/12),2),""))</f>
        <v/>
      </c>
      <c r="AG131" s="36" t="n"/>
      <c r="AH131" s="36" t="n"/>
      <c r="AI131" s="36" t="n"/>
      <c r="AJ131" s="36" t="inlineStr">
        <is>
          <t>Low</t>
        </is>
      </c>
      <c r="AK131" s="36" t="inlineStr">
        <is>
          <t>Low</t>
        </is>
      </c>
      <c r="AL131" s="35" t="n"/>
    </row>
    <row r="132">
      <c r="A132" s="35" t="inlineStr">
        <is>
          <t>TEST_013</t>
        </is>
      </c>
      <c r="B132" s="35" t="n">
        <v>10</v>
      </c>
      <c r="C132" s="36" t="n"/>
      <c r="D132" s="36" t="n"/>
      <c r="E132" s="36" t="n"/>
      <c r="F132" s="36" t="n">
        <v>13.86</v>
      </c>
      <c r="G132" s="36" t="n">
        <v>9.199999999999999</v>
      </c>
      <c r="H132" s="36" t="n"/>
      <c r="I132" s="36" t="n"/>
      <c r="J132" s="36" t="n"/>
      <c r="K132" s="36" t="n">
        <v>14.46</v>
      </c>
      <c r="L132" s="36" t="n">
        <v>9.529999999999999</v>
      </c>
      <c r="M132" s="36" t="n"/>
      <c r="N132" s="36" t="n"/>
      <c r="O132" s="36" t="n"/>
      <c r="P132" s="36" t="inlineStr">
        <is>
          <t>C3</t>
        </is>
      </c>
      <c r="Q132" s="36" t="inlineStr">
        <is>
          <t>C3</t>
        </is>
      </c>
      <c r="R132" s="38">
        <f>IF(M132="","",LEFT(M132,LEN(M132)-1))</f>
        <v/>
      </c>
      <c r="S132" s="38">
        <f>IF(N132="","",LEFT(N132,LEN(N132)-1))</f>
        <v/>
      </c>
      <c r="T132" s="38">
        <f>IF(O132="","",LEFT(O132,LEN(O132)-1))</f>
        <v/>
      </c>
      <c r="U132" s="38">
        <f>IF(P132="","",LEFT(P132,LEN(P132)-1))</f>
        <v/>
      </c>
      <c r="V132" s="38">
        <f>IF(Q132="","",LEFT(Q132,LEN(Q132)-1))</f>
        <v/>
      </c>
      <c r="W132" s="38">
        <f>IF(M132="","",IFERROR(VALUE(RIGHT(M132,1)),""))</f>
        <v/>
      </c>
      <c r="X132" s="38">
        <f>IF(N132="","",IFERROR(VALUE(RIGHT(N132,1)),""))</f>
        <v/>
      </c>
      <c r="Y132" s="38">
        <f>IF(O132="","",IFERROR(VALUE(RIGHT(O132,1)),""))</f>
        <v/>
      </c>
      <c r="Z132" s="38">
        <f>IF(P132="","",IFERROR(VALUE(RIGHT(P132,1)),""))</f>
        <v/>
      </c>
      <c r="AA132" s="38">
        <f>IF(Q132="","",IFERROR(VALUE(RIGHT(Q132,1)),""))</f>
        <v/>
      </c>
      <c r="AB132" s="38">
        <f>IF(OR(M132="",W132=""),"",IFERROR(ROUND(440*2^((12*(W132+1)+IFERROR(MATCH(R132,{"C","C#","D","D#","E","F","F#","G","G#","A","A#","B"},0)-1,MATCH(R132,{"C","Db","D","Eb","E","F","Gb","G","Ab","A","Bb","B"},0)-1)-69)/12),2),""))</f>
        <v/>
      </c>
      <c r="AC132" s="38">
        <f>IF(OR(N132="",X132=""),"",IFERROR(ROUND(440*2^((12*(X132+1)+IFERROR(MATCH(S132,{"C","C#","D","D#","E","F","F#","G","G#","A","A#","B"},0)-1,MATCH(S132,{"C","Db","D","Eb","E","F","Gb","G","Ab","A","Bb","B"},0)-1)-69)/12),2),""))</f>
        <v/>
      </c>
      <c r="AD132" s="38">
        <f>IF(OR(O132="",Y132=""),"",IFERROR(ROUND(440*2^((12*(Y132+1)+IFERROR(MATCH(T132,{"C","C#","D","D#","E","F","F#","G","G#","A","A#","B"},0)-1,MATCH(T132,{"C","Db","D","Eb","E","F","Gb","G","Ab","A","Bb","B"},0)-1)-69)/12),2),""))</f>
        <v/>
      </c>
      <c r="AE132" s="38">
        <f>IF(OR(P132="",Z132=""),"",IFERROR(ROUND(440*2^((12*(Z132+1)+IFERROR(MATCH(U132,{"C","C#","D","D#","E","F","F#","G","G#","A","A#","B"},0)-1,MATCH(U132,{"C","Db","D","Eb","E","F","Gb","G","Ab","A","Bb","B"},0)-1)-69)/12),2),""))</f>
        <v/>
      </c>
      <c r="AF132" s="38">
        <f>IF(OR(Q132="",AA132=""),"",IFERROR(ROUND(440*2^((12*(AA132+1)+IFERROR(MATCH(V132,{"C","C#","D","D#","E","F","F#","G","G#","A","A#","B"},0)-1,MATCH(V132,{"C","Db","D","Eb","E","F","Gb","G","Ab","A","Bb","B"},0)-1)-69)/12),2),""))</f>
        <v/>
      </c>
      <c r="AG132" s="36" t="n"/>
      <c r="AH132" s="36" t="n"/>
      <c r="AI132" s="36" t="n"/>
      <c r="AJ132" s="36" t="inlineStr">
        <is>
          <t>Low</t>
        </is>
      </c>
      <c r="AK132" s="36" t="inlineStr">
        <is>
          <t>Low</t>
        </is>
      </c>
      <c r="AL132" s="35" t="n"/>
    </row>
    <row r="133">
      <c r="A133" s="35" t="inlineStr">
        <is>
          <t>TEST_014</t>
        </is>
      </c>
      <c r="B133" s="35" t="n">
        <v>1</v>
      </c>
      <c r="C133" s="36" t="n"/>
      <c r="D133" s="36" t="n"/>
      <c r="E133" s="36" t="n"/>
      <c r="F133" s="36" t="n">
        <v>0.62</v>
      </c>
      <c r="G133" s="36" t="n">
        <v>0.64</v>
      </c>
      <c r="H133" s="36" t="n"/>
      <c r="I133" s="36" t="n"/>
      <c r="J133" s="36" t="n"/>
      <c r="K133" s="36" t="n">
        <v>0.93</v>
      </c>
      <c r="L133" s="36" t="n">
        <v>0.93</v>
      </c>
      <c r="M133" s="36" t="n"/>
      <c r="N133" s="36" t="inlineStr">
        <is>
          <t>N/A</t>
        </is>
      </c>
      <c r="O133" s="36" t="inlineStr">
        <is>
          <t>N/A</t>
        </is>
      </c>
      <c r="P133" s="36" t="inlineStr">
        <is>
          <t>D#3</t>
        </is>
      </c>
      <c r="Q133" s="36" t="inlineStr">
        <is>
          <t>D#3</t>
        </is>
      </c>
      <c r="R133" s="38">
        <f>IF(M133="","",LEFT(M133,LEN(M133)-1))</f>
        <v/>
      </c>
      <c r="S133" s="38">
        <f>IF(N133="","",LEFT(N133,LEN(N133)-1))</f>
        <v/>
      </c>
      <c r="T133" s="38">
        <f>IF(O133="","",LEFT(O133,LEN(O133)-1))</f>
        <v/>
      </c>
      <c r="U133" s="38">
        <f>IF(P133="","",LEFT(P133,LEN(P133)-1))</f>
        <v/>
      </c>
      <c r="V133" s="38">
        <f>IF(Q133="","",LEFT(Q133,LEN(Q133)-1))</f>
        <v/>
      </c>
      <c r="W133" s="38">
        <f>IF(M133="","",IFERROR(VALUE(RIGHT(M133,1)),""))</f>
        <v/>
      </c>
      <c r="X133" s="38">
        <f>IF(N133="","",IFERROR(VALUE(RIGHT(N133,1)),""))</f>
        <v/>
      </c>
      <c r="Y133" s="38">
        <f>IF(O133="","",IFERROR(VALUE(RIGHT(O133,1)),""))</f>
        <v/>
      </c>
      <c r="Z133" s="38">
        <f>IF(P133="","",IFERROR(VALUE(RIGHT(P133,1)),""))</f>
        <v/>
      </c>
      <c r="AA133" s="38">
        <f>IF(Q133="","",IFERROR(VALUE(RIGHT(Q133,1)),""))</f>
        <v/>
      </c>
      <c r="AB133" s="38">
        <f>IF(OR(M133="",W133=""),"",IFERROR(ROUND(440*2^((12*(W133+1)+IFERROR(MATCH(R133,{"C","C#","D","D#","E","F","F#","G","G#","A","A#","B"},0)-1,MATCH(R133,{"C","Db","D","Eb","E","F","Gb","G","Ab","A","Bb","B"},0)-1)-69)/12),2),""))</f>
        <v/>
      </c>
      <c r="AC133" s="38">
        <f>IF(OR(N133="",X133=""),"",IFERROR(ROUND(440*2^((12*(X133+1)+IFERROR(MATCH(S133,{"C","C#","D","D#","E","F","F#","G","G#","A","A#","B"},0)-1,MATCH(S133,{"C","Db","D","Eb","E","F","Gb","G","Ab","A","Bb","B"},0)-1)-69)/12),2),""))</f>
        <v/>
      </c>
      <c r="AD133" s="38">
        <f>IF(OR(O133="",Y133=""),"",IFERROR(ROUND(440*2^((12*(Y133+1)+IFERROR(MATCH(T133,{"C","C#","D","D#","E","F","F#","G","G#","A","A#","B"},0)-1,MATCH(T133,{"C","Db","D","Eb","E","F","Gb","G","Ab","A","Bb","B"},0)-1)-69)/12),2),""))</f>
        <v/>
      </c>
      <c r="AE133" s="38">
        <f>IF(OR(P133="",Z133=""),"",IFERROR(ROUND(440*2^((12*(Z133+1)+IFERROR(MATCH(U133,{"C","C#","D","D#","E","F","F#","G","G#","A","A#","B"},0)-1,MATCH(U133,{"C","Db","D","Eb","E","F","Gb","G","Ab","A","Bb","B"},0)-1)-69)/12),2),""))</f>
        <v/>
      </c>
      <c r="AF133" s="38">
        <f>IF(OR(Q133="",AA133=""),"",IFERROR(ROUND(440*2^((12*(AA133+1)+IFERROR(MATCH(V133,{"C","C#","D","D#","E","F","F#","G","G#","A","A#","B"},0)-1,MATCH(V133,{"C","Db","D","Eb","E","F","Gb","G","Ab","A","Bb","B"},0)-1)-69)/12),2),""))</f>
        <v/>
      </c>
      <c r="AG133" s="36" t="n"/>
      <c r="AH133" s="36" t="n"/>
      <c r="AI133" s="36" t="n"/>
      <c r="AJ133" s="36" t="inlineStr">
        <is>
          <t>Low</t>
        </is>
      </c>
      <c r="AK133" s="36" t="inlineStr">
        <is>
          <t>Medium</t>
        </is>
      </c>
      <c r="AL13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34">
      <c r="A134" s="35" t="inlineStr">
        <is>
          <t>TEST_014</t>
        </is>
      </c>
      <c r="B134" s="35" t="n">
        <v>2</v>
      </c>
      <c r="C134" s="36" t="n"/>
      <c r="D134" s="36" t="n"/>
      <c r="E134" s="36" t="n"/>
      <c r="F134" s="36" t="n">
        <v>1.04</v>
      </c>
      <c r="G134" s="36" t="n">
        <v>0.99</v>
      </c>
      <c r="H134" s="36" t="n"/>
      <c r="I134" s="36" t="n"/>
      <c r="J134" s="36" t="n"/>
      <c r="K134" s="36" t="n">
        <v>1.18</v>
      </c>
      <c r="L134" s="36" t="n">
        <v>1.24</v>
      </c>
      <c r="M134" s="36" t="n"/>
      <c r="N134" s="36" t="n"/>
      <c r="O134" s="36" t="n"/>
      <c r="P134" s="36" t="inlineStr">
        <is>
          <t>G3</t>
        </is>
      </c>
      <c r="Q134" s="36" t="inlineStr">
        <is>
          <t>G3</t>
        </is>
      </c>
      <c r="R134" s="38">
        <f>IF(M134="","",LEFT(M134,LEN(M134)-1))</f>
        <v/>
      </c>
      <c r="S134" s="38">
        <f>IF(N134="","",LEFT(N134,LEN(N134)-1))</f>
        <v/>
      </c>
      <c r="T134" s="38">
        <f>IF(O134="","",LEFT(O134,LEN(O134)-1))</f>
        <v/>
      </c>
      <c r="U134" s="38">
        <f>IF(P134="","",LEFT(P134,LEN(P134)-1))</f>
        <v/>
      </c>
      <c r="V134" s="38">
        <f>IF(Q134="","",LEFT(Q134,LEN(Q134)-1))</f>
        <v/>
      </c>
      <c r="W134" s="38">
        <f>IF(M134="","",IFERROR(VALUE(RIGHT(M134,1)),""))</f>
        <v/>
      </c>
      <c r="X134" s="38">
        <f>IF(N134="","",IFERROR(VALUE(RIGHT(N134,1)),""))</f>
        <v/>
      </c>
      <c r="Y134" s="38">
        <f>IF(O134="","",IFERROR(VALUE(RIGHT(O134,1)),""))</f>
        <v/>
      </c>
      <c r="Z134" s="38">
        <f>IF(P134="","",IFERROR(VALUE(RIGHT(P134,1)),""))</f>
        <v/>
      </c>
      <c r="AA134" s="38">
        <f>IF(Q134="","",IFERROR(VALUE(RIGHT(Q134,1)),""))</f>
        <v/>
      </c>
      <c r="AB134" s="38">
        <f>IF(OR(M134="",W134=""),"",IFERROR(ROUND(440*2^((12*(W134+1)+IFERROR(MATCH(R134,{"C","C#","D","D#","E","F","F#","G","G#","A","A#","B"},0)-1,MATCH(R134,{"C","Db","D","Eb","E","F","Gb","G","Ab","A","Bb","B"},0)-1)-69)/12),2),""))</f>
        <v/>
      </c>
      <c r="AC134" s="38">
        <f>IF(OR(N134="",X134=""),"",IFERROR(ROUND(440*2^((12*(X134+1)+IFERROR(MATCH(S134,{"C","C#","D","D#","E","F","F#","G","G#","A","A#","B"},0)-1,MATCH(S134,{"C","Db","D","Eb","E","F","Gb","G","Ab","A","Bb","B"},0)-1)-69)/12),2),""))</f>
        <v/>
      </c>
      <c r="AD134" s="38">
        <f>IF(OR(O134="",Y134=""),"",IFERROR(ROUND(440*2^((12*(Y134+1)+IFERROR(MATCH(T134,{"C","C#","D","D#","E","F","F#","G","G#","A","A#","B"},0)-1,MATCH(T134,{"C","Db","D","Eb","E","F","Gb","G","Ab","A","Bb","B"},0)-1)-69)/12),2),""))</f>
        <v/>
      </c>
      <c r="AE134" s="38">
        <f>IF(OR(P134="",Z134=""),"",IFERROR(ROUND(440*2^((12*(Z134+1)+IFERROR(MATCH(U134,{"C","C#","D","D#","E","F","F#","G","G#","A","A#","B"},0)-1,MATCH(U134,{"C","Db","D","Eb","E","F","Gb","G","Ab","A","Bb","B"},0)-1)-69)/12),2),""))</f>
        <v/>
      </c>
      <c r="AF134" s="38">
        <f>IF(OR(Q134="",AA134=""),"",IFERROR(ROUND(440*2^((12*(AA134+1)+IFERROR(MATCH(V134,{"C","C#","D","D#","E","F","F#","G","G#","A","A#","B"},0)-1,MATCH(V134,{"C","Db","D","Eb","E","F","Gb","G","Ab","A","Bb","B"},0)-1)-69)/12),2),""))</f>
        <v/>
      </c>
      <c r="AG134" s="36" t="n"/>
      <c r="AH134" s="36" t="n"/>
      <c r="AI134" s="36" t="n"/>
      <c r="AJ134" s="36" t="inlineStr">
        <is>
          <t>Low</t>
        </is>
      </c>
      <c r="AK134" s="36" t="inlineStr">
        <is>
          <t>Low</t>
        </is>
      </c>
      <c r="AL134" s="35" t="n"/>
    </row>
    <row r="135">
      <c r="A135" s="35" t="inlineStr">
        <is>
          <t>TEST_014</t>
        </is>
      </c>
      <c r="B135" s="35" t="n">
        <v>3</v>
      </c>
      <c r="C135" s="36" t="n"/>
      <c r="D135" s="36" t="n"/>
      <c r="E135" s="36" t="n"/>
      <c r="F135" s="36" t="n">
        <v>1.28</v>
      </c>
      <c r="G135" s="36" t="n">
        <v>1.27</v>
      </c>
      <c r="H135" s="36" t="n"/>
      <c r="I135" s="36" t="n"/>
      <c r="J135" s="36" t="n"/>
      <c r="K135" s="36" t="n">
        <v>2.05</v>
      </c>
      <c r="L135" s="36" t="n">
        <v>2.15</v>
      </c>
      <c r="M135" s="36" t="n"/>
      <c r="N135" s="36" t="n"/>
      <c r="O135" s="36" t="n"/>
      <c r="P135" s="36" t="inlineStr">
        <is>
          <t>A#3</t>
        </is>
      </c>
      <c r="Q135" s="36" t="inlineStr">
        <is>
          <t>A#3</t>
        </is>
      </c>
      <c r="R135" s="38">
        <f>IF(M135="","",LEFT(M135,LEN(M135)-1))</f>
        <v/>
      </c>
      <c r="S135" s="38">
        <f>IF(N135="","",LEFT(N135,LEN(N135)-1))</f>
        <v/>
      </c>
      <c r="T135" s="38">
        <f>IF(O135="","",LEFT(O135,LEN(O135)-1))</f>
        <v/>
      </c>
      <c r="U135" s="38">
        <f>IF(P135="","",LEFT(P135,LEN(P135)-1))</f>
        <v/>
      </c>
      <c r="V135" s="38">
        <f>IF(Q135="","",LEFT(Q135,LEN(Q135)-1))</f>
        <v/>
      </c>
      <c r="W135" s="38">
        <f>IF(M135="","",IFERROR(VALUE(RIGHT(M135,1)),""))</f>
        <v/>
      </c>
      <c r="X135" s="38">
        <f>IF(N135="","",IFERROR(VALUE(RIGHT(N135,1)),""))</f>
        <v/>
      </c>
      <c r="Y135" s="38">
        <f>IF(O135="","",IFERROR(VALUE(RIGHT(O135,1)),""))</f>
        <v/>
      </c>
      <c r="Z135" s="38">
        <f>IF(P135="","",IFERROR(VALUE(RIGHT(P135,1)),""))</f>
        <v/>
      </c>
      <c r="AA135" s="38">
        <f>IF(Q135="","",IFERROR(VALUE(RIGHT(Q135,1)),""))</f>
        <v/>
      </c>
      <c r="AB135" s="38">
        <f>IF(OR(M135="",W135=""),"",IFERROR(ROUND(440*2^((12*(W135+1)+IFERROR(MATCH(R135,{"C","C#","D","D#","E","F","F#","G","G#","A","A#","B"},0)-1,MATCH(R135,{"C","Db","D","Eb","E","F","Gb","G","Ab","A","Bb","B"},0)-1)-69)/12),2),""))</f>
        <v/>
      </c>
      <c r="AC135" s="38">
        <f>IF(OR(N135="",X135=""),"",IFERROR(ROUND(440*2^((12*(X135+1)+IFERROR(MATCH(S135,{"C","C#","D","D#","E","F","F#","G","G#","A","A#","B"},0)-1,MATCH(S135,{"C","Db","D","Eb","E","F","Gb","G","Ab","A","Bb","B"},0)-1)-69)/12),2),""))</f>
        <v/>
      </c>
      <c r="AD135" s="38">
        <f>IF(OR(O135="",Y135=""),"",IFERROR(ROUND(440*2^((12*(Y135+1)+IFERROR(MATCH(T135,{"C","C#","D","D#","E","F","F#","G","G#","A","A#","B"},0)-1,MATCH(T135,{"C","Db","D","Eb","E","F","Gb","G","Ab","A","Bb","B"},0)-1)-69)/12),2),""))</f>
        <v/>
      </c>
      <c r="AE135" s="38">
        <f>IF(OR(P135="",Z135=""),"",IFERROR(ROUND(440*2^((12*(Z135+1)+IFERROR(MATCH(U135,{"C","C#","D","D#","E","F","F#","G","G#","A","A#","B"},0)-1,MATCH(U135,{"C","Db","D","Eb","E","F","Gb","G","Ab","A","Bb","B"},0)-1)-69)/12),2),""))</f>
        <v/>
      </c>
      <c r="AF135" s="38">
        <f>IF(OR(Q135="",AA135=""),"",IFERROR(ROUND(440*2^((12*(AA135+1)+IFERROR(MATCH(V135,{"C","C#","D","D#","E","F","F#","G","G#","A","A#","B"},0)-1,MATCH(V135,{"C","Db","D","Eb","E","F","Gb","G","Ab","A","Bb","B"},0)-1)-69)/12),2),""))</f>
        <v/>
      </c>
      <c r="AG135" s="36" t="n"/>
      <c r="AH135" s="36" t="n"/>
      <c r="AI135" s="36" t="n"/>
      <c r="AJ135" s="36" t="inlineStr">
        <is>
          <t>Low</t>
        </is>
      </c>
      <c r="AK135" s="36" t="inlineStr">
        <is>
          <t>High</t>
        </is>
      </c>
      <c r="AL135" s="35" t="n"/>
    </row>
    <row r="136">
      <c r="A136" s="35" t="inlineStr">
        <is>
          <t>TEST_014</t>
        </is>
      </c>
      <c r="B136" s="35" t="n">
        <v>4</v>
      </c>
      <c r="C136" s="36" t="n"/>
      <c r="D136" s="36" t="n"/>
      <c r="E136" s="36" t="n"/>
      <c r="F136" s="36" t="n">
        <v>2.25</v>
      </c>
      <c r="G136" s="36" t="n">
        <v>2.26</v>
      </c>
      <c r="H136" s="36" t="n"/>
      <c r="I136" s="36" t="n"/>
      <c r="J136" s="36" t="n"/>
      <c r="K136" s="36" t="n">
        <v>2.53</v>
      </c>
      <c r="L136" s="36" t="n">
        <v>2.55</v>
      </c>
      <c r="M136" s="36" t="n"/>
      <c r="N136" s="36" t="n"/>
      <c r="O136" s="36" t="n"/>
      <c r="P136" s="36" t="inlineStr">
        <is>
          <t>A#3</t>
        </is>
      </c>
      <c r="Q136" s="36" t="inlineStr">
        <is>
          <t>A#3</t>
        </is>
      </c>
      <c r="R136" s="38">
        <f>IF(M136="","",LEFT(M136,LEN(M136)-1))</f>
        <v/>
      </c>
      <c r="S136" s="38">
        <f>IF(N136="","",LEFT(N136,LEN(N136)-1))</f>
        <v/>
      </c>
      <c r="T136" s="38">
        <f>IF(O136="","",LEFT(O136,LEN(O136)-1))</f>
        <v/>
      </c>
      <c r="U136" s="38">
        <f>IF(P136="","",LEFT(P136,LEN(P136)-1))</f>
        <v/>
      </c>
      <c r="V136" s="38">
        <f>IF(Q136="","",LEFT(Q136,LEN(Q136)-1))</f>
        <v/>
      </c>
      <c r="W136" s="38">
        <f>IF(M136="","",IFERROR(VALUE(RIGHT(M136,1)),""))</f>
        <v/>
      </c>
      <c r="X136" s="38">
        <f>IF(N136="","",IFERROR(VALUE(RIGHT(N136,1)),""))</f>
        <v/>
      </c>
      <c r="Y136" s="38">
        <f>IF(O136="","",IFERROR(VALUE(RIGHT(O136,1)),""))</f>
        <v/>
      </c>
      <c r="Z136" s="38">
        <f>IF(P136="","",IFERROR(VALUE(RIGHT(P136,1)),""))</f>
        <v/>
      </c>
      <c r="AA136" s="38">
        <f>IF(Q136="","",IFERROR(VALUE(RIGHT(Q136,1)),""))</f>
        <v/>
      </c>
      <c r="AB136" s="38">
        <f>IF(OR(M136="",W136=""),"",IFERROR(ROUND(440*2^((12*(W136+1)+IFERROR(MATCH(R136,{"C","C#","D","D#","E","F","F#","G","G#","A","A#","B"},0)-1,MATCH(R136,{"C","Db","D","Eb","E","F","Gb","G","Ab","A","Bb","B"},0)-1)-69)/12),2),""))</f>
        <v/>
      </c>
      <c r="AC136" s="38">
        <f>IF(OR(N136="",X136=""),"",IFERROR(ROUND(440*2^((12*(X136+1)+IFERROR(MATCH(S136,{"C","C#","D","D#","E","F","F#","G","G#","A","A#","B"},0)-1,MATCH(S136,{"C","Db","D","Eb","E","F","Gb","G","Ab","A","Bb","B"},0)-1)-69)/12),2),""))</f>
        <v/>
      </c>
      <c r="AD136" s="38">
        <f>IF(OR(O136="",Y136=""),"",IFERROR(ROUND(440*2^((12*(Y136+1)+IFERROR(MATCH(T136,{"C","C#","D","D#","E","F","F#","G","G#","A","A#","B"},0)-1,MATCH(T136,{"C","Db","D","Eb","E","F","Gb","G","Ab","A","Bb","B"},0)-1)-69)/12),2),""))</f>
        <v/>
      </c>
      <c r="AE136" s="38">
        <f>IF(OR(P136="",Z136=""),"",IFERROR(ROUND(440*2^((12*(Z136+1)+IFERROR(MATCH(U136,{"C","C#","D","D#","E","F","F#","G","G#","A","A#","B"},0)-1,MATCH(U136,{"C","Db","D","Eb","E","F","Gb","G","Ab","A","Bb","B"},0)-1)-69)/12),2),""))</f>
        <v/>
      </c>
      <c r="AF136" s="38">
        <f>IF(OR(Q136="",AA136=""),"",IFERROR(ROUND(440*2^((12*(AA136+1)+IFERROR(MATCH(V136,{"C","C#","D","D#","E","F","F#","G","G#","A","A#","B"},0)-1,MATCH(V136,{"C","Db","D","Eb","E","F","Gb","G","Ab","A","Bb","B"},0)-1)-69)/12),2),""))</f>
        <v/>
      </c>
      <c r="AG136" s="36" t="n"/>
      <c r="AH136" s="36" t="n"/>
      <c r="AI136" s="36" t="n"/>
      <c r="AJ136" s="36" t="inlineStr">
        <is>
          <t>Low</t>
        </is>
      </c>
      <c r="AK136" s="36" t="inlineStr">
        <is>
          <t>Medium</t>
        </is>
      </c>
      <c r="AL136" s="35" t="n"/>
    </row>
    <row r="137">
      <c r="A137" s="35" t="inlineStr">
        <is>
          <t>TEST_014</t>
        </is>
      </c>
      <c r="B137" s="35" t="n">
        <v>5</v>
      </c>
      <c r="C137" s="36" t="n"/>
      <c r="D137" s="36" t="n"/>
      <c r="E137" s="36" t="n"/>
      <c r="F137" s="36" t="n">
        <v>2.54</v>
      </c>
      <c r="G137" s="36" t="n">
        <v>3.12</v>
      </c>
      <c r="H137" s="36" t="n"/>
      <c r="I137" s="36" t="n"/>
      <c r="J137" s="36" t="n"/>
      <c r="K137" s="36" t="n">
        <v>2.73</v>
      </c>
      <c r="L137" s="36" t="n">
        <v>3.26</v>
      </c>
      <c r="M137" s="36" t="n"/>
      <c r="N137" s="36" t="n"/>
      <c r="O137" s="36" t="n"/>
      <c r="P137" s="36" t="inlineStr">
        <is>
          <t>C4</t>
        </is>
      </c>
      <c r="Q137" s="36" t="inlineStr">
        <is>
          <t>A#3</t>
        </is>
      </c>
      <c r="R137" s="38">
        <f>IF(M137="","",LEFT(M137,LEN(M137)-1))</f>
        <v/>
      </c>
      <c r="S137" s="38">
        <f>IF(N137="","",LEFT(N137,LEN(N137)-1))</f>
        <v/>
      </c>
      <c r="T137" s="38">
        <f>IF(O137="","",LEFT(O137,LEN(O137)-1))</f>
        <v/>
      </c>
      <c r="U137" s="38">
        <f>IF(P137="","",LEFT(P137,LEN(P137)-1))</f>
        <v/>
      </c>
      <c r="V137" s="38">
        <f>IF(Q137="","",LEFT(Q137,LEN(Q137)-1))</f>
        <v/>
      </c>
      <c r="W137" s="38">
        <f>IF(M137="","",IFERROR(VALUE(RIGHT(M137,1)),""))</f>
        <v/>
      </c>
      <c r="X137" s="38">
        <f>IF(N137="","",IFERROR(VALUE(RIGHT(N137,1)),""))</f>
        <v/>
      </c>
      <c r="Y137" s="38">
        <f>IF(O137="","",IFERROR(VALUE(RIGHT(O137,1)),""))</f>
        <v/>
      </c>
      <c r="Z137" s="38">
        <f>IF(P137="","",IFERROR(VALUE(RIGHT(P137,1)),""))</f>
        <v/>
      </c>
      <c r="AA137" s="38">
        <f>IF(Q137="","",IFERROR(VALUE(RIGHT(Q137,1)),""))</f>
        <v/>
      </c>
      <c r="AB137" s="38">
        <f>IF(OR(M137="",W137=""),"",IFERROR(ROUND(440*2^((12*(W137+1)+IFERROR(MATCH(R137,{"C","C#","D","D#","E","F","F#","G","G#","A","A#","B"},0)-1,MATCH(R137,{"C","Db","D","Eb","E","F","Gb","G","Ab","A","Bb","B"},0)-1)-69)/12),2),""))</f>
        <v/>
      </c>
      <c r="AC137" s="38">
        <f>IF(OR(N137="",X137=""),"",IFERROR(ROUND(440*2^((12*(X137+1)+IFERROR(MATCH(S137,{"C","C#","D","D#","E","F","F#","G","G#","A","A#","B"},0)-1,MATCH(S137,{"C","Db","D","Eb","E","F","Gb","G","Ab","A","Bb","B"},0)-1)-69)/12),2),""))</f>
        <v/>
      </c>
      <c r="AD137" s="38">
        <f>IF(OR(O137="",Y137=""),"",IFERROR(ROUND(440*2^((12*(Y137+1)+IFERROR(MATCH(T137,{"C","C#","D","D#","E","F","F#","G","G#","A","A#","B"},0)-1,MATCH(T137,{"C","Db","D","Eb","E","F","Gb","G","Ab","A","Bb","B"},0)-1)-69)/12),2),""))</f>
        <v/>
      </c>
      <c r="AE137" s="38">
        <f>IF(OR(P137="",Z137=""),"",IFERROR(ROUND(440*2^((12*(Z137+1)+IFERROR(MATCH(U137,{"C","C#","D","D#","E","F","F#","G","G#","A","A#","B"},0)-1,MATCH(U137,{"C","Db","D","Eb","E","F","Gb","G","Ab","A","Bb","B"},0)-1)-69)/12),2),""))</f>
        <v/>
      </c>
      <c r="AF137" s="38">
        <f>IF(OR(Q137="",AA137=""),"",IFERROR(ROUND(440*2^((12*(AA137+1)+IFERROR(MATCH(V137,{"C","C#","D","D#","E","F","F#","G","G#","A","A#","B"},0)-1,MATCH(V137,{"C","Db","D","Eb","E","F","Gb","G","Ab","A","Bb","B"},0)-1)-69)/12),2),""))</f>
        <v/>
      </c>
      <c r="AG137" s="36" t="n"/>
      <c r="AH137" s="36" t="n"/>
      <c r="AI137" s="36" t="n"/>
      <c r="AJ137" s="36" t="inlineStr">
        <is>
          <t>Low</t>
        </is>
      </c>
      <c r="AK137" s="36" t="inlineStr">
        <is>
          <t>Low</t>
        </is>
      </c>
      <c r="AL137" s="35" t="n"/>
    </row>
    <row r="138">
      <c r="A138" s="35" t="inlineStr">
        <is>
          <t>TEST_014</t>
        </is>
      </c>
      <c r="B138" s="35" t="n">
        <v>6</v>
      </c>
      <c r="C138" s="36" t="n"/>
      <c r="D138" s="36" t="n"/>
      <c r="E138" s="36" t="n"/>
      <c r="F138" s="36" t="n">
        <v>3.26</v>
      </c>
      <c r="G138" s="36" t="n">
        <v>3.74</v>
      </c>
      <c r="H138" s="36" t="n"/>
      <c r="I138" s="36" t="n"/>
      <c r="J138" s="36" t="n"/>
      <c r="K138" s="36" t="n">
        <v>3.57</v>
      </c>
      <c r="L138" s="36" t="n">
        <v>4.28</v>
      </c>
      <c r="M138" s="36" t="n"/>
      <c r="N138" s="36" t="n"/>
      <c r="O138" s="36" t="n"/>
      <c r="P138" s="36" t="inlineStr">
        <is>
          <t>C4</t>
        </is>
      </c>
      <c r="Q138" s="36" t="inlineStr">
        <is>
          <t>A#3</t>
        </is>
      </c>
      <c r="R138" s="38">
        <f>IF(M138="","",LEFT(M138,LEN(M138)-1))</f>
        <v/>
      </c>
      <c r="S138" s="38">
        <f>IF(N138="","",LEFT(N138,LEN(N138)-1))</f>
        <v/>
      </c>
      <c r="T138" s="38">
        <f>IF(O138="","",LEFT(O138,LEN(O138)-1))</f>
        <v/>
      </c>
      <c r="U138" s="38">
        <f>IF(P138="","",LEFT(P138,LEN(P138)-1))</f>
        <v/>
      </c>
      <c r="V138" s="38">
        <f>IF(Q138="","",LEFT(Q138,LEN(Q138)-1))</f>
        <v/>
      </c>
      <c r="W138" s="38">
        <f>IF(M138="","",IFERROR(VALUE(RIGHT(M138,1)),""))</f>
        <v/>
      </c>
      <c r="X138" s="38">
        <f>IF(N138="","",IFERROR(VALUE(RIGHT(N138,1)),""))</f>
        <v/>
      </c>
      <c r="Y138" s="38">
        <f>IF(O138="","",IFERROR(VALUE(RIGHT(O138,1)),""))</f>
        <v/>
      </c>
      <c r="Z138" s="38">
        <f>IF(P138="","",IFERROR(VALUE(RIGHT(P138,1)),""))</f>
        <v/>
      </c>
      <c r="AA138" s="38">
        <f>IF(Q138="","",IFERROR(VALUE(RIGHT(Q138,1)),""))</f>
        <v/>
      </c>
      <c r="AB138" s="38">
        <f>IF(OR(M138="",W138=""),"",IFERROR(ROUND(440*2^((12*(W138+1)+IFERROR(MATCH(R138,{"C","C#","D","D#","E","F","F#","G","G#","A","A#","B"},0)-1,MATCH(R138,{"C","Db","D","Eb","E","F","Gb","G","Ab","A","Bb","B"},0)-1)-69)/12),2),""))</f>
        <v/>
      </c>
      <c r="AC138" s="38">
        <f>IF(OR(N138="",X138=""),"",IFERROR(ROUND(440*2^((12*(X138+1)+IFERROR(MATCH(S138,{"C","C#","D","D#","E","F","F#","G","G#","A","A#","B"},0)-1,MATCH(S138,{"C","Db","D","Eb","E","F","Gb","G","Ab","A","Bb","B"},0)-1)-69)/12),2),""))</f>
        <v/>
      </c>
      <c r="AD138" s="38">
        <f>IF(OR(O138="",Y138=""),"",IFERROR(ROUND(440*2^((12*(Y138+1)+IFERROR(MATCH(T138,{"C","C#","D","D#","E","F","F#","G","G#","A","A#","B"},0)-1,MATCH(T138,{"C","Db","D","Eb","E","F","Gb","G","Ab","A","Bb","B"},0)-1)-69)/12),2),""))</f>
        <v/>
      </c>
      <c r="AE138" s="38">
        <f>IF(OR(P138="",Z138=""),"",IFERROR(ROUND(440*2^((12*(Z138+1)+IFERROR(MATCH(U138,{"C","C#","D","D#","E","F","F#","G","G#","A","A#","B"},0)-1,MATCH(U138,{"C","Db","D","Eb","E","F","Gb","G","Ab","A","Bb","B"},0)-1)-69)/12),2),""))</f>
        <v/>
      </c>
      <c r="AF138" s="38">
        <f>IF(OR(Q138="",AA138=""),"",IFERROR(ROUND(440*2^((12*(AA138+1)+IFERROR(MATCH(V138,{"C","C#","D","D#","E","F","F#","G","G#","A","A#","B"},0)-1,MATCH(V138,{"C","Db","D","Eb","E","F","Gb","G","Ab","A","Bb","B"},0)-1)-69)/12),2),""))</f>
        <v/>
      </c>
      <c r="AG138" s="36" t="n"/>
      <c r="AH138" s="36" t="n"/>
      <c r="AI138" s="36" t="n"/>
      <c r="AJ138" s="36" t="inlineStr">
        <is>
          <t>Low</t>
        </is>
      </c>
      <c r="AK138" s="36" t="inlineStr">
        <is>
          <t>Medium</t>
        </is>
      </c>
      <c r="AL138" s="35" t="n"/>
    </row>
    <row r="139">
      <c r="A139" s="35" t="inlineStr">
        <is>
          <t>TEST_014</t>
        </is>
      </c>
      <c r="B139" s="35" t="n">
        <v>7</v>
      </c>
      <c r="C139" s="36" t="n"/>
      <c r="D139" s="36" t="n"/>
      <c r="E139" s="36" t="n"/>
      <c r="F139" s="36" t="n">
        <v>3.76</v>
      </c>
      <c r="G139" s="36" t="n">
        <v>4.44</v>
      </c>
      <c r="H139" s="36" t="n"/>
      <c r="I139" s="36" t="n"/>
      <c r="J139" s="36" t="n"/>
      <c r="K139" s="36" t="n">
        <v>4.29</v>
      </c>
      <c r="L139" s="36" t="n">
        <v>4.75</v>
      </c>
      <c r="M139" s="36" t="n"/>
      <c r="N139" s="36" t="n"/>
      <c r="O139" s="36" t="n"/>
      <c r="P139" s="36" t="inlineStr">
        <is>
          <t>A#3</t>
        </is>
      </c>
      <c r="Q139" s="36" t="inlineStr">
        <is>
          <t>G3</t>
        </is>
      </c>
      <c r="R139" s="38">
        <f>IF(M139="","",LEFT(M139,LEN(M139)-1))</f>
        <v/>
      </c>
      <c r="S139" s="38">
        <f>IF(N139="","",LEFT(N139,LEN(N139)-1))</f>
        <v/>
      </c>
      <c r="T139" s="38">
        <f>IF(O139="","",LEFT(O139,LEN(O139)-1))</f>
        <v/>
      </c>
      <c r="U139" s="38">
        <f>IF(P139="","",LEFT(P139,LEN(P139)-1))</f>
        <v/>
      </c>
      <c r="V139" s="38">
        <f>IF(Q139="","",LEFT(Q139,LEN(Q139)-1))</f>
        <v/>
      </c>
      <c r="W139" s="38">
        <f>IF(M139="","",IFERROR(VALUE(RIGHT(M139,1)),""))</f>
        <v/>
      </c>
      <c r="X139" s="38">
        <f>IF(N139="","",IFERROR(VALUE(RIGHT(N139,1)),""))</f>
        <v/>
      </c>
      <c r="Y139" s="38">
        <f>IF(O139="","",IFERROR(VALUE(RIGHT(O139,1)),""))</f>
        <v/>
      </c>
      <c r="Z139" s="38">
        <f>IF(P139="","",IFERROR(VALUE(RIGHT(P139,1)),""))</f>
        <v/>
      </c>
      <c r="AA139" s="38">
        <f>IF(Q139="","",IFERROR(VALUE(RIGHT(Q139,1)),""))</f>
        <v/>
      </c>
      <c r="AB139" s="38">
        <f>IF(OR(M139="",W139=""),"",IFERROR(ROUND(440*2^((12*(W139+1)+IFERROR(MATCH(R139,{"C","C#","D","D#","E","F","F#","G","G#","A","A#","B"},0)-1,MATCH(R139,{"C","Db","D","Eb","E","F","Gb","G","Ab","A","Bb","B"},0)-1)-69)/12),2),""))</f>
        <v/>
      </c>
      <c r="AC139" s="38">
        <f>IF(OR(N139="",X139=""),"",IFERROR(ROUND(440*2^((12*(X139+1)+IFERROR(MATCH(S139,{"C","C#","D","D#","E","F","F#","G","G#","A","A#","B"},0)-1,MATCH(S139,{"C","Db","D","Eb","E","F","Gb","G","Ab","A","Bb","B"},0)-1)-69)/12),2),""))</f>
        <v/>
      </c>
      <c r="AD139" s="38">
        <f>IF(OR(O139="",Y139=""),"",IFERROR(ROUND(440*2^((12*(Y139+1)+IFERROR(MATCH(T139,{"C","C#","D","D#","E","F","F#","G","G#","A","A#","B"},0)-1,MATCH(T139,{"C","Db","D","Eb","E","F","Gb","G","Ab","A","Bb","B"},0)-1)-69)/12),2),""))</f>
        <v/>
      </c>
      <c r="AE139" s="38">
        <f>IF(OR(P139="",Z139=""),"",IFERROR(ROUND(440*2^((12*(Z139+1)+IFERROR(MATCH(U139,{"C","C#","D","D#","E","F","F#","G","G#","A","A#","B"},0)-1,MATCH(U139,{"C","Db","D","Eb","E","F","Gb","G","Ab","A","Bb","B"},0)-1)-69)/12),2),""))</f>
        <v/>
      </c>
      <c r="AF139" s="38">
        <f>IF(OR(Q139="",AA139=""),"",IFERROR(ROUND(440*2^((12*(AA139+1)+IFERROR(MATCH(V139,{"C","C#","D","D#","E","F","F#","G","G#","A","A#","B"},0)-1,MATCH(V139,{"C","Db","D","Eb","E","F","Gb","G","Ab","A","Bb","B"},0)-1)-69)/12),2),""))</f>
        <v/>
      </c>
      <c r="AG139" s="36" t="n"/>
      <c r="AH139" s="36" t="n"/>
      <c r="AI139" s="36" t="n"/>
      <c r="AJ139" s="36" t="inlineStr">
        <is>
          <t>Low</t>
        </is>
      </c>
      <c r="AK139" s="36" t="inlineStr">
        <is>
          <t>Medium</t>
        </is>
      </c>
      <c r="AL139" s="35" t="n"/>
    </row>
    <row r="140">
      <c r="A140" s="35" t="inlineStr">
        <is>
          <t>TEST_014</t>
        </is>
      </c>
      <c r="B140" s="35" t="n">
        <v>8</v>
      </c>
      <c r="C140" s="36" t="n"/>
      <c r="D140" s="36" t="n"/>
      <c r="E140" s="36" t="n"/>
      <c r="F140" s="36" t="n">
        <v>4.42</v>
      </c>
      <c r="G140" s="36" t="n">
        <v>5.46</v>
      </c>
      <c r="H140" s="36" t="n"/>
      <c r="I140" s="36" t="n"/>
      <c r="J140" s="36" t="n"/>
      <c r="K140" s="36" t="n">
        <v>4.85</v>
      </c>
      <c r="L140" s="36" t="n">
        <v>6.07</v>
      </c>
      <c r="M140" s="36" t="n"/>
      <c r="N140" s="36" t="n"/>
      <c r="O140" s="36" t="n"/>
      <c r="P140" s="36" t="inlineStr">
        <is>
          <t>G3</t>
        </is>
      </c>
      <c r="Q140" s="36" t="inlineStr">
        <is>
          <t>G3</t>
        </is>
      </c>
      <c r="R140" s="38">
        <f>IF(M140="","",LEFT(M140,LEN(M140)-1))</f>
        <v/>
      </c>
      <c r="S140" s="38">
        <f>IF(N140="","",LEFT(N140,LEN(N140)-1))</f>
        <v/>
      </c>
      <c r="T140" s="38">
        <f>IF(O140="","",LEFT(O140,LEN(O140)-1))</f>
        <v/>
      </c>
      <c r="U140" s="38">
        <f>IF(P140="","",LEFT(P140,LEN(P140)-1))</f>
        <v/>
      </c>
      <c r="V140" s="38">
        <f>IF(Q140="","",LEFT(Q140,LEN(Q140)-1))</f>
        <v/>
      </c>
      <c r="W140" s="38">
        <f>IF(M140="","",IFERROR(VALUE(RIGHT(M140,1)),""))</f>
        <v/>
      </c>
      <c r="X140" s="38">
        <f>IF(N140="","",IFERROR(VALUE(RIGHT(N140,1)),""))</f>
        <v/>
      </c>
      <c r="Y140" s="38">
        <f>IF(O140="","",IFERROR(VALUE(RIGHT(O140,1)),""))</f>
        <v/>
      </c>
      <c r="Z140" s="38">
        <f>IF(P140="","",IFERROR(VALUE(RIGHT(P140,1)),""))</f>
        <v/>
      </c>
      <c r="AA140" s="38">
        <f>IF(Q140="","",IFERROR(VALUE(RIGHT(Q140,1)),""))</f>
        <v/>
      </c>
      <c r="AB140" s="38">
        <f>IF(OR(M140="",W140=""),"",IFERROR(ROUND(440*2^((12*(W140+1)+IFERROR(MATCH(R140,{"C","C#","D","D#","E","F","F#","G","G#","A","A#","B"},0)-1,MATCH(R140,{"C","Db","D","Eb","E","F","Gb","G","Ab","A","Bb","B"},0)-1)-69)/12),2),""))</f>
        <v/>
      </c>
      <c r="AC140" s="38">
        <f>IF(OR(N140="",X140=""),"",IFERROR(ROUND(440*2^((12*(X140+1)+IFERROR(MATCH(S140,{"C","C#","D","D#","E","F","F#","G","G#","A","A#","B"},0)-1,MATCH(S140,{"C","Db","D","Eb","E","F","Gb","G","Ab","A","Bb","B"},0)-1)-69)/12),2),""))</f>
        <v/>
      </c>
      <c r="AD140" s="38">
        <f>IF(OR(O140="",Y140=""),"",IFERROR(ROUND(440*2^((12*(Y140+1)+IFERROR(MATCH(T140,{"C","C#","D","D#","E","F","F#","G","G#","A","A#","B"},0)-1,MATCH(T140,{"C","Db","D","Eb","E","F","Gb","G","Ab","A","Bb","B"},0)-1)-69)/12),2),""))</f>
        <v/>
      </c>
      <c r="AE140" s="38">
        <f>IF(OR(P140="",Z140=""),"",IFERROR(ROUND(440*2^((12*(Z140+1)+IFERROR(MATCH(U140,{"C","C#","D","D#","E","F","F#","G","G#","A","A#","B"},0)-1,MATCH(U140,{"C","Db","D","Eb","E","F","Gb","G","Ab","A","Bb","B"},0)-1)-69)/12),2),""))</f>
        <v/>
      </c>
      <c r="AF140" s="38">
        <f>IF(OR(Q140="",AA140=""),"",IFERROR(ROUND(440*2^((12*(AA140+1)+IFERROR(MATCH(V140,{"C","C#","D","D#","E","F","F#","G","G#","A","A#","B"},0)-1,MATCH(V140,{"C","Db","D","Eb","E","F","Gb","G","Ab","A","Bb","B"},0)-1)-69)/12),2),""))</f>
        <v/>
      </c>
      <c r="AG140" s="36" t="n"/>
      <c r="AH140" s="36" t="n"/>
      <c r="AI140" s="36" t="n"/>
      <c r="AJ140" s="36" t="inlineStr">
        <is>
          <t>Low</t>
        </is>
      </c>
      <c r="AK140" s="36" t="inlineStr">
        <is>
          <t>Medium</t>
        </is>
      </c>
      <c r="AL140" s="35" t="n"/>
    </row>
    <row r="141">
      <c r="A141" s="35" t="inlineStr">
        <is>
          <t>TEST_014</t>
        </is>
      </c>
      <c r="B141" s="35" t="n">
        <v>9</v>
      </c>
      <c r="C141" s="36" t="n"/>
      <c r="D141" s="36" t="n"/>
      <c r="E141" s="36" t="n"/>
      <c r="F141" s="36" t="n">
        <v>5.52</v>
      </c>
      <c r="G141" s="36" t="n">
        <v>6.15</v>
      </c>
      <c r="H141" s="36" t="n"/>
      <c r="I141" s="36" t="n"/>
      <c r="J141" s="36" t="n"/>
      <c r="K141" s="36" t="n">
        <v>6.16</v>
      </c>
      <c r="L141" s="36" t="n">
        <v>6.34</v>
      </c>
      <c r="M141" s="36" t="n"/>
      <c r="N141" s="36" t="n"/>
      <c r="O141" s="36" t="n"/>
      <c r="P141" s="36" t="inlineStr">
        <is>
          <t>G3</t>
        </is>
      </c>
      <c r="Q141" s="36" t="inlineStr">
        <is>
          <t>G3</t>
        </is>
      </c>
      <c r="R141" s="38">
        <f>IF(M141="","",LEFT(M141,LEN(M141)-1))</f>
        <v/>
      </c>
      <c r="S141" s="38">
        <f>IF(N141="","",LEFT(N141,LEN(N141)-1))</f>
        <v/>
      </c>
      <c r="T141" s="38">
        <f>IF(O141="","",LEFT(O141,LEN(O141)-1))</f>
        <v/>
      </c>
      <c r="U141" s="38">
        <f>IF(P141="","",LEFT(P141,LEN(P141)-1))</f>
        <v/>
      </c>
      <c r="V141" s="38">
        <f>IF(Q141="","",LEFT(Q141,LEN(Q141)-1))</f>
        <v/>
      </c>
      <c r="W141" s="38">
        <f>IF(M141="","",IFERROR(VALUE(RIGHT(M141,1)),""))</f>
        <v/>
      </c>
      <c r="X141" s="38">
        <f>IF(N141="","",IFERROR(VALUE(RIGHT(N141,1)),""))</f>
        <v/>
      </c>
      <c r="Y141" s="38">
        <f>IF(O141="","",IFERROR(VALUE(RIGHT(O141,1)),""))</f>
        <v/>
      </c>
      <c r="Z141" s="38">
        <f>IF(P141="","",IFERROR(VALUE(RIGHT(P141,1)),""))</f>
        <v/>
      </c>
      <c r="AA141" s="38">
        <f>IF(Q141="","",IFERROR(VALUE(RIGHT(Q141,1)),""))</f>
        <v/>
      </c>
      <c r="AB141" s="38">
        <f>IF(OR(M141="",W141=""),"",IFERROR(ROUND(440*2^((12*(W141+1)+IFERROR(MATCH(R141,{"C","C#","D","D#","E","F","F#","G","G#","A","A#","B"},0)-1,MATCH(R141,{"C","Db","D","Eb","E","F","Gb","G","Ab","A","Bb","B"},0)-1)-69)/12),2),""))</f>
        <v/>
      </c>
      <c r="AC141" s="38">
        <f>IF(OR(N141="",X141=""),"",IFERROR(ROUND(440*2^((12*(X141+1)+IFERROR(MATCH(S141,{"C","C#","D","D#","E","F","F#","G","G#","A","A#","B"},0)-1,MATCH(S141,{"C","Db","D","Eb","E","F","Gb","G","Ab","A","Bb","B"},0)-1)-69)/12),2),""))</f>
        <v/>
      </c>
      <c r="AD141" s="38">
        <f>IF(OR(O141="",Y141=""),"",IFERROR(ROUND(440*2^((12*(Y141+1)+IFERROR(MATCH(T141,{"C","C#","D","D#","E","F","F#","G","G#","A","A#","B"},0)-1,MATCH(T141,{"C","Db","D","Eb","E","F","Gb","G","Ab","A","Bb","B"},0)-1)-69)/12),2),""))</f>
        <v/>
      </c>
      <c r="AE141" s="38">
        <f>IF(OR(P141="",Z141=""),"",IFERROR(ROUND(440*2^((12*(Z141+1)+IFERROR(MATCH(U141,{"C","C#","D","D#","E","F","F#","G","G#","A","A#","B"},0)-1,MATCH(U141,{"C","Db","D","Eb","E","F","Gb","G","Ab","A","Bb","B"},0)-1)-69)/12),2),""))</f>
        <v/>
      </c>
      <c r="AF141" s="38">
        <f>IF(OR(Q141="",AA141=""),"",IFERROR(ROUND(440*2^((12*(AA141+1)+IFERROR(MATCH(V141,{"C","C#","D","D#","E","F","F#","G","G#","A","A#","B"},0)-1,MATCH(V141,{"C","Db","D","Eb","E","F","Gb","G","Ab","A","Bb","B"},0)-1)-69)/12),2),""))</f>
        <v/>
      </c>
      <c r="AG141" s="36" t="n"/>
      <c r="AH141" s="36" t="n"/>
      <c r="AI141" s="36" t="n"/>
      <c r="AJ141" s="36" t="inlineStr">
        <is>
          <t>Low</t>
        </is>
      </c>
      <c r="AK141" s="36" t="inlineStr">
        <is>
          <t>Low</t>
        </is>
      </c>
      <c r="AL141" s="35" t="n"/>
    </row>
    <row r="142">
      <c r="A142" s="35" t="inlineStr">
        <is>
          <t>TEST_014</t>
        </is>
      </c>
      <c r="B142" s="35" t="n">
        <v>10</v>
      </c>
      <c r="C142" s="36" t="n"/>
      <c r="D142" s="36" t="n"/>
      <c r="E142" s="36" t="n"/>
      <c r="F142" s="36" t="n">
        <v>6.27</v>
      </c>
      <c r="G142" s="36" t="n">
        <v>6.43</v>
      </c>
      <c r="H142" s="36" t="n"/>
      <c r="I142" s="36" t="n"/>
      <c r="J142" s="36" t="n"/>
      <c r="K142" s="36" t="n">
        <v>6.44</v>
      </c>
      <c r="L142" s="36" t="n">
        <v>6.65</v>
      </c>
      <c r="M142" s="36" t="n"/>
      <c r="N142" s="36" t="n"/>
      <c r="O142" s="36" t="n"/>
      <c r="P142" s="36" t="inlineStr">
        <is>
          <t>G3</t>
        </is>
      </c>
      <c r="Q142" s="36" t="inlineStr">
        <is>
          <t>G3</t>
        </is>
      </c>
      <c r="R142" s="38">
        <f>IF(M142="","",LEFT(M142,LEN(M142)-1))</f>
        <v/>
      </c>
      <c r="S142" s="38">
        <f>IF(N142="","",LEFT(N142,LEN(N142)-1))</f>
        <v/>
      </c>
      <c r="T142" s="38">
        <f>IF(O142="","",LEFT(O142,LEN(O142)-1))</f>
        <v/>
      </c>
      <c r="U142" s="38">
        <f>IF(P142="","",LEFT(P142,LEN(P142)-1))</f>
        <v/>
      </c>
      <c r="V142" s="38">
        <f>IF(Q142="","",LEFT(Q142,LEN(Q142)-1))</f>
        <v/>
      </c>
      <c r="W142" s="38">
        <f>IF(M142="","",IFERROR(VALUE(RIGHT(M142,1)),""))</f>
        <v/>
      </c>
      <c r="X142" s="38">
        <f>IF(N142="","",IFERROR(VALUE(RIGHT(N142,1)),""))</f>
        <v/>
      </c>
      <c r="Y142" s="38">
        <f>IF(O142="","",IFERROR(VALUE(RIGHT(O142,1)),""))</f>
        <v/>
      </c>
      <c r="Z142" s="38">
        <f>IF(P142="","",IFERROR(VALUE(RIGHT(P142,1)),""))</f>
        <v/>
      </c>
      <c r="AA142" s="38">
        <f>IF(Q142="","",IFERROR(VALUE(RIGHT(Q142,1)),""))</f>
        <v/>
      </c>
      <c r="AB142" s="38">
        <f>IF(OR(M142="",W142=""),"",IFERROR(ROUND(440*2^((12*(W142+1)+IFERROR(MATCH(R142,{"C","C#","D","D#","E","F","F#","G","G#","A","A#","B"},0)-1,MATCH(R142,{"C","Db","D","Eb","E","F","Gb","G","Ab","A","Bb","B"},0)-1)-69)/12),2),""))</f>
        <v/>
      </c>
      <c r="AC142" s="38">
        <f>IF(OR(N142="",X142=""),"",IFERROR(ROUND(440*2^((12*(X142+1)+IFERROR(MATCH(S142,{"C","C#","D","D#","E","F","F#","G","G#","A","A#","B"},0)-1,MATCH(S142,{"C","Db","D","Eb","E","F","Gb","G","Ab","A","Bb","B"},0)-1)-69)/12),2),""))</f>
        <v/>
      </c>
      <c r="AD142" s="38">
        <f>IF(OR(O142="",Y142=""),"",IFERROR(ROUND(440*2^((12*(Y142+1)+IFERROR(MATCH(T142,{"C","C#","D","D#","E","F","F#","G","G#","A","A#","B"},0)-1,MATCH(T142,{"C","Db","D","Eb","E","F","Gb","G","Ab","A","Bb","B"},0)-1)-69)/12),2),""))</f>
        <v/>
      </c>
      <c r="AE142" s="38">
        <f>IF(OR(P142="",Z142=""),"",IFERROR(ROUND(440*2^((12*(Z142+1)+IFERROR(MATCH(U142,{"C","C#","D","D#","E","F","F#","G","G#","A","A#","B"},0)-1,MATCH(U142,{"C","Db","D","Eb","E","F","Gb","G","Ab","A","Bb","B"},0)-1)-69)/12),2),""))</f>
        <v/>
      </c>
      <c r="AF142" s="38">
        <f>IF(OR(Q142="",AA142=""),"",IFERROR(ROUND(440*2^((12*(AA142+1)+IFERROR(MATCH(V142,{"C","C#","D","D#","E","F","F#","G","G#","A","A#","B"},0)-1,MATCH(V142,{"C","Db","D","Eb","E","F","Gb","G","Ab","A","Bb","B"},0)-1)-69)/12),2),""))</f>
        <v/>
      </c>
      <c r="AG142" s="36" t="n"/>
      <c r="AH142" s="36" t="n"/>
      <c r="AI142" s="36" t="n"/>
      <c r="AJ142" s="36" t="inlineStr">
        <is>
          <t>Low</t>
        </is>
      </c>
      <c r="AK142" s="36" t="inlineStr">
        <is>
          <t>Low</t>
        </is>
      </c>
      <c r="AL142" s="35" t="n"/>
    </row>
    <row r="143">
      <c r="A143" s="35" t="inlineStr">
        <is>
          <t>TEST_015</t>
        </is>
      </c>
      <c r="B143" s="35" t="n">
        <v>1</v>
      </c>
      <c r="C143" s="36" t="n"/>
      <c r="D143" s="36" t="n"/>
      <c r="E143" s="36" t="n"/>
      <c r="F143" s="36" t="n">
        <v>1.18</v>
      </c>
      <c r="G143" s="36" t="n">
        <v>0.39</v>
      </c>
      <c r="H143" s="36" t="n"/>
      <c r="I143" s="36" t="n"/>
      <c r="J143" s="36" t="n"/>
      <c r="K143" s="36" t="n">
        <v>1.7</v>
      </c>
      <c r="L143" s="36" t="n">
        <v>1.08</v>
      </c>
      <c r="M143" s="36" t="n"/>
      <c r="N143" s="36" t="inlineStr">
        <is>
          <t>N/A</t>
        </is>
      </c>
      <c r="O143" s="36" t="inlineStr">
        <is>
          <t>N/A</t>
        </is>
      </c>
      <c r="P143" s="36" t="inlineStr">
        <is>
          <t>C4</t>
        </is>
      </c>
      <c r="Q143" s="36" t="inlineStr">
        <is>
          <t>F2</t>
        </is>
      </c>
      <c r="R143" s="38">
        <f>IF(M143="","",LEFT(M143,LEN(M143)-1))</f>
        <v/>
      </c>
      <c r="S143" s="38">
        <f>IF(N143="","",LEFT(N143,LEN(N143)-1))</f>
        <v/>
      </c>
      <c r="T143" s="38">
        <f>IF(O143="","",LEFT(O143,LEN(O143)-1))</f>
        <v/>
      </c>
      <c r="U143" s="38">
        <f>IF(P143="","",LEFT(P143,LEN(P143)-1))</f>
        <v/>
      </c>
      <c r="V143" s="38">
        <f>IF(Q143="","",LEFT(Q143,LEN(Q143)-1))</f>
        <v/>
      </c>
      <c r="W143" s="38">
        <f>IF(M143="","",IFERROR(VALUE(RIGHT(M143,1)),""))</f>
        <v/>
      </c>
      <c r="X143" s="38">
        <f>IF(N143="","",IFERROR(VALUE(RIGHT(N143,1)),""))</f>
        <v/>
      </c>
      <c r="Y143" s="38">
        <f>IF(O143="","",IFERROR(VALUE(RIGHT(O143,1)),""))</f>
        <v/>
      </c>
      <c r="Z143" s="38">
        <f>IF(P143="","",IFERROR(VALUE(RIGHT(P143,1)),""))</f>
        <v/>
      </c>
      <c r="AA143" s="38">
        <f>IF(Q143="","",IFERROR(VALUE(RIGHT(Q143,1)),""))</f>
        <v/>
      </c>
      <c r="AB143" s="38">
        <f>IF(OR(M143="",W143=""),"",IFERROR(ROUND(440*2^((12*(W143+1)+IFERROR(MATCH(R143,{"C","C#","D","D#","E","F","F#","G","G#","A","A#","B"},0)-1,MATCH(R143,{"C","Db","D","Eb","E","F","Gb","G","Ab","A","Bb","B"},0)-1)-69)/12),2),""))</f>
        <v/>
      </c>
      <c r="AC143" s="38">
        <f>IF(OR(N143="",X143=""),"",IFERROR(ROUND(440*2^((12*(X143+1)+IFERROR(MATCH(S143,{"C","C#","D","D#","E","F","F#","G","G#","A","A#","B"},0)-1,MATCH(S143,{"C","Db","D","Eb","E","F","Gb","G","Ab","A","Bb","B"},0)-1)-69)/12),2),""))</f>
        <v/>
      </c>
      <c r="AD143" s="38">
        <f>IF(OR(O143="",Y143=""),"",IFERROR(ROUND(440*2^((12*(Y143+1)+IFERROR(MATCH(T143,{"C","C#","D","D#","E","F","F#","G","G#","A","A#","B"},0)-1,MATCH(T143,{"C","Db","D","Eb","E","F","Gb","G","Ab","A","Bb","B"},0)-1)-69)/12),2),""))</f>
        <v/>
      </c>
      <c r="AE143" s="38">
        <f>IF(OR(P143="",Z143=""),"",IFERROR(ROUND(440*2^((12*(Z143+1)+IFERROR(MATCH(U143,{"C","C#","D","D#","E","F","F#","G","G#","A","A#","B"},0)-1,MATCH(U143,{"C","Db","D","Eb","E","F","Gb","G","Ab","A","Bb","B"},0)-1)-69)/12),2),""))</f>
        <v/>
      </c>
      <c r="AF143" s="38">
        <f>IF(OR(Q143="",AA143=""),"",IFERROR(ROUND(440*2^((12*(AA143+1)+IFERROR(MATCH(V143,{"C","C#","D","D#","E","F","F#","G","G#","A","A#","B"},0)-1,MATCH(V143,{"C","Db","D","Eb","E","F","Gb","G","Ab","A","Bb","B"},0)-1)-69)/12),2),""))</f>
        <v/>
      </c>
      <c r="AG143" s="36" t="n"/>
      <c r="AH143" s="36" t="n"/>
      <c r="AI143" s="36" t="n"/>
      <c r="AJ143" s="36" t="inlineStr">
        <is>
          <t>Low</t>
        </is>
      </c>
      <c r="AK143" s="36" t="inlineStr">
        <is>
          <t>Low</t>
        </is>
      </c>
      <c r="AL14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44">
      <c r="A144" s="35" t="inlineStr">
        <is>
          <t>TEST_015</t>
        </is>
      </c>
      <c r="B144" s="35" t="n">
        <v>2</v>
      </c>
      <c r="C144" s="36" t="n"/>
      <c r="D144" s="36" t="n"/>
      <c r="E144" s="36" t="n"/>
      <c r="F144" s="36" t="n">
        <v>1.7</v>
      </c>
      <c r="G144" s="36" t="n">
        <v>1.27</v>
      </c>
      <c r="H144" s="36" t="n"/>
      <c r="I144" s="36" t="n"/>
      <c r="J144" s="36" t="n"/>
      <c r="K144" s="36" t="n">
        <v>1.89</v>
      </c>
      <c r="L144" s="36" t="n">
        <v>1.63</v>
      </c>
      <c r="M144" s="36" t="n"/>
      <c r="N144" s="36" t="n"/>
      <c r="O144" s="36" t="n"/>
      <c r="P144" s="36" t="inlineStr">
        <is>
          <t>C4</t>
        </is>
      </c>
      <c r="Q144" s="36" t="inlineStr">
        <is>
          <t>F2</t>
        </is>
      </c>
      <c r="R144" s="38">
        <f>IF(M144="","",LEFT(M144,LEN(M144)-1))</f>
        <v/>
      </c>
      <c r="S144" s="38">
        <f>IF(N144="","",LEFT(N144,LEN(N144)-1))</f>
        <v/>
      </c>
      <c r="T144" s="38">
        <f>IF(O144="","",LEFT(O144,LEN(O144)-1))</f>
        <v/>
      </c>
      <c r="U144" s="38">
        <f>IF(P144="","",LEFT(P144,LEN(P144)-1))</f>
        <v/>
      </c>
      <c r="V144" s="38">
        <f>IF(Q144="","",LEFT(Q144,LEN(Q144)-1))</f>
        <v/>
      </c>
      <c r="W144" s="38">
        <f>IF(M144="","",IFERROR(VALUE(RIGHT(M144,1)),""))</f>
        <v/>
      </c>
      <c r="X144" s="38">
        <f>IF(N144="","",IFERROR(VALUE(RIGHT(N144,1)),""))</f>
        <v/>
      </c>
      <c r="Y144" s="38">
        <f>IF(O144="","",IFERROR(VALUE(RIGHT(O144,1)),""))</f>
        <v/>
      </c>
      <c r="Z144" s="38">
        <f>IF(P144="","",IFERROR(VALUE(RIGHT(P144,1)),""))</f>
        <v/>
      </c>
      <c r="AA144" s="38">
        <f>IF(Q144="","",IFERROR(VALUE(RIGHT(Q144,1)),""))</f>
        <v/>
      </c>
      <c r="AB144" s="38">
        <f>IF(OR(M144="",W144=""),"",IFERROR(ROUND(440*2^((12*(W144+1)+IFERROR(MATCH(R144,{"C","C#","D","D#","E","F","F#","G","G#","A","A#","B"},0)-1,MATCH(R144,{"C","Db","D","Eb","E","F","Gb","G","Ab","A","Bb","B"},0)-1)-69)/12),2),""))</f>
        <v/>
      </c>
      <c r="AC144" s="38">
        <f>IF(OR(N144="",X144=""),"",IFERROR(ROUND(440*2^((12*(X144+1)+IFERROR(MATCH(S144,{"C","C#","D","D#","E","F","F#","G","G#","A","A#","B"},0)-1,MATCH(S144,{"C","Db","D","Eb","E","F","Gb","G","Ab","A","Bb","B"},0)-1)-69)/12),2),""))</f>
        <v/>
      </c>
      <c r="AD144" s="38">
        <f>IF(OR(O144="",Y144=""),"",IFERROR(ROUND(440*2^((12*(Y144+1)+IFERROR(MATCH(T144,{"C","C#","D","D#","E","F","F#","G","G#","A","A#","B"},0)-1,MATCH(T144,{"C","Db","D","Eb","E","F","Gb","G","Ab","A","Bb","B"},0)-1)-69)/12),2),""))</f>
        <v/>
      </c>
      <c r="AE144" s="38">
        <f>IF(OR(P144="",Z144=""),"",IFERROR(ROUND(440*2^((12*(Z144+1)+IFERROR(MATCH(U144,{"C","C#","D","D#","E","F","F#","G","G#","A","A#","B"},0)-1,MATCH(U144,{"C","Db","D","Eb","E","F","Gb","G","Ab","A","Bb","B"},0)-1)-69)/12),2),""))</f>
        <v/>
      </c>
      <c r="AF144" s="38">
        <f>IF(OR(Q144="",AA144=""),"",IFERROR(ROUND(440*2^((12*(AA144+1)+IFERROR(MATCH(V144,{"C","C#","D","D#","E","F","F#","G","G#","A","A#","B"},0)-1,MATCH(V144,{"C","Db","D","Eb","E","F","Gb","G","Ab","A","Bb","B"},0)-1)-69)/12),2),""))</f>
        <v/>
      </c>
      <c r="AG144" s="36" t="n"/>
      <c r="AH144" s="36" t="n"/>
      <c r="AI144" s="36" t="n"/>
      <c r="AJ144" s="36" t="inlineStr">
        <is>
          <t>Low</t>
        </is>
      </c>
      <c r="AK144" s="36" t="inlineStr">
        <is>
          <t>Low</t>
        </is>
      </c>
      <c r="AL144" s="35" t="n"/>
    </row>
    <row r="145">
      <c r="A145" s="35" t="inlineStr">
        <is>
          <t>TEST_015</t>
        </is>
      </c>
      <c r="B145" s="35" t="n">
        <v>3</v>
      </c>
      <c r="C145" s="36" t="n"/>
      <c r="D145" s="36" t="n"/>
      <c r="E145" s="36" t="n"/>
      <c r="F145" s="36" t="n">
        <v>1.9</v>
      </c>
      <c r="G145" s="36" t="n">
        <v>2.19</v>
      </c>
      <c r="H145" s="36" t="n"/>
      <c r="I145" s="36" t="n"/>
      <c r="J145" s="36" t="n"/>
      <c r="K145" s="36" t="n">
        <v>2.1</v>
      </c>
      <c r="L145" s="36" t="n">
        <v>2.45</v>
      </c>
      <c r="M145" s="36" t="n"/>
      <c r="N145" s="36" t="n"/>
      <c r="O145" s="36" t="n"/>
      <c r="P145" s="36" t="inlineStr">
        <is>
          <t>E4</t>
        </is>
      </c>
      <c r="Q145" s="36" t="inlineStr">
        <is>
          <t>E4</t>
        </is>
      </c>
      <c r="R145" s="38">
        <f>IF(M145="","",LEFT(M145,LEN(M145)-1))</f>
        <v/>
      </c>
      <c r="S145" s="38">
        <f>IF(N145="","",LEFT(N145,LEN(N145)-1))</f>
        <v/>
      </c>
      <c r="T145" s="38">
        <f>IF(O145="","",LEFT(O145,LEN(O145)-1))</f>
        <v/>
      </c>
      <c r="U145" s="38">
        <f>IF(P145="","",LEFT(P145,LEN(P145)-1))</f>
        <v/>
      </c>
      <c r="V145" s="38">
        <f>IF(Q145="","",LEFT(Q145,LEN(Q145)-1))</f>
        <v/>
      </c>
      <c r="W145" s="38">
        <f>IF(M145="","",IFERROR(VALUE(RIGHT(M145,1)),""))</f>
        <v/>
      </c>
      <c r="X145" s="38">
        <f>IF(N145="","",IFERROR(VALUE(RIGHT(N145,1)),""))</f>
        <v/>
      </c>
      <c r="Y145" s="38">
        <f>IF(O145="","",IFERROR(VALUE(RIGHT(O145,1)),""))</f>
        <v/>
      </c>
      <c r="Z145" s="38">
        <f>IF(P145="","",IFERROR(VALUE(RIGHT(P145,1)),""))</f>
        <v/>
      </c>
      <c r="AA145" s="38">
        <f>IF(Q145="","",IFERROR(VALUE(RIGHT(Q145,1)),""))</f>
        <v/>
      </c>
      <c r="AB145" s="38">
        <f>IF(OR(M145="",W145=""),"",IFERROR(ROUND(440*2^((12*(W145+1)+IFERROR(MATCH(R145,{"C","C#","D","D#","E","F","F#","G","G#","A","A#","B"},0)-1,MATCH(R145,{"C","Db","D","Eb","E","F","Gb","G","Ab","A","Bb","B"},0)-1)-69)/12),2),""))</f>
        <v/>
      </c>
      <c r="AC145" s="38">
        <f>IF(OR(N145="",X145=""),"",IFERROR(ROUND(440*2^((12*(X145+1)+IFERROR(MATCH(S145,{"C","C#","D","D#","E","F","F#","G","G#","A","A#","B"},0)-1,MATCH(S145,{"C","Db","D","Eb","E","F","Gb","G","Ab","A","Bb","B"},0)-1)-69)/12),2),""))</f>
        <v/>
      </c>
      <c r="AD145" s="38">
        <f>IF(OR(O145="",Y145=""),"",IFERROR(ROUND(440*2^((12*(Y145+1)+IFERROR(MATCH(T145,{"C","C#","D","D#","E","F","F#","G","G#","A","A#","B"},0)-1,MATCH(T145,{"C","Db","D","Eb","E","F","Gb","G","Ab","A","Bb","B"},0)-1)-69)/12),2),""))</f>
        <v/>
      </c>
      <c r="AE145" s="38">
        <f>IF(OR(P145="",Z145=""),"",IFERROR(ROUND(440*2^((12*(Z145+1)+IFERROR(MATCH(U145,{"C","C#","D","D#","E","F","F#","G","G#","A","A#","B"},0)-1,MATCH(U145,{"C","Db","D","Eb","E","F","Gb","G","Ab","A","Bb","B"},0)-1)-69)/12),2),""))</f>
        <v/>
      </c>
      <c r="AF145" s="38">
        <f>IF(OR(Q145="",AA145=""),"",IFERROR(ROUND(440*2^((12*(AA145+1)+IFERROR(MATCH(V145,{"C","C#","D","D#","E","F","F#","G","G#","A","A#","B"},0)-1,MATCH(V145,{"C","Db","D","Eb","E","F","Gb","G","Ab","A","Bb","B"},0)-1)-69)/12),2),""))</f>
        <v/>
      </c>
      <c r="AG145" s="36" t="n"/>
      <c r="AH145" s="36" t="n"/>
      <c r="AI145" s="36" t="n"/>
      <c r="AJ145" s="36" t="inlineStr">
        <is>
          <t>Low</t>
        </is>
      </c>
      <c r="AK145" s="36" t="inlineStr">
        <is>
          <t>Low</t>
        </is>
      </c>
      <c r="AL145" s="35" t="n"/>
    </row>
    <row r="146">
      <c r="A146" s="35" t="inlineStr">
        <is>
          <t>TEST_015</t>
        </is>
      </c>
      <c r="B146" s="35" t="n">
        <v>4</v>
      </c>
      <c r="C146" s="36" t="n"/>
      <c r="D146" s="36" t="n"/>
      <c r="E146" s="36" t="n"/>
      <c r="F146" s="36" t="n">
        <v>2.21</v>
      </c>
      <c r="G146" s="36" t="n">
        <v>2.66</v>
      </c>
      <c r="H146" s="36" t="n"/>
      <c r="I146" s="36" t="n"/>
      <c r="J146" s="36" t="n"/>
      <c r="K146" s="36" t="n">
        <v>2.38</v>
      </c>
      <c r="L146" s="36" t="n">
        <v>2.83</v>
      </c>
      <c r="M146" s="36" t="n"/>
      <c r="N146" s="36" t="n"/>
      <c r="O146" s="36" t="n"/>
      <c r="P146" s="36" t="inlineStr">
        <is>
          <t>E4</t>
        </is>
      </c>
      <c r="Q146" s="36" t="inlineStr">
        <is>
          <t>F4</t>
        </is>
      </c>
      <c r="R146" s="38">
        <f>IF(M146="","",LEFT(M146,LEN(M146)-1))</f>
        <v/>
      </c>
      <c r="S146" s="38">
        <f>IF(N146="","",LEFT(N146,LEN(N146)-1))</f>
        <v/>
      </c>
      <c r="T146" s="38">
        <f>IF(O146="","",LEFT(O146,LEN(O146)-1))</f>
        <v/>
      </c>
      <c r="U146" s="38">
        <f>IF(P146="","",LEFT(P146,LEN(P146)-1))</f>
        <v/>
      </c>
      <c r="V146" s="38">
        <f>IF(Q146="","",LEFT(Q146,LEN(Q146)-1))</f>
        <v/>
      </c>
      <c r="W146" s="38">
        <f>IF(M146="","",IFERROR(VALUE(RIGHT(M146,1)),""))</f>
        <v/>
      </c>
      <c r="X146" s="38">
        <f>IF(N146="","",IFERROR(VALUE(RIGHT(N146,1)),""))</f>
        <v/>
      </c>
      <c r="Y146" s="38">
        <f>IF(O146="","",IFERROR(VALUE(RIGHT(O146,1)),""))</f>
        <v/>
      </c>
      <c r="Z146" s="38">
        <f>IF(P146="","",IFERROR(VALUE(RIGHT(P146,1)),""))</f>
        <v/>
      </c>
      <c r="AA146" s="38">
        <f>IF(Q146="","",IFERROR(VALUE(RIGHT(Q146,1)),""))</f>
        <v/>
      </c>
      <c r="AB146" s="38">
        <f>IF(OR(M146="",W146=""),"",IFERROR(ROUND(440*2^((12*(W146+1)+IFERROR(MATCH(R146,{"C","C#","D","D#","E","F","F#","G","G#","A","A#","B"},0)-1,MATCH(R146,{"C","Db","D","Eb","E","F","Gb","G","Ab","A","Bb","B"},0)-1)-69)/12),2),""))</f>
        <v/>
      </c>
      <c r="AC146" s="38">
        <f>IF(OR(N146="",X146=""),"",IFERROR(ROUND(440*2^((12*(X146+1)+IFERROR(MATCH(S146,{"C","C#","D","D#","E","F","F#","G","G#","A","A#","B"},0)-1,MATCH(S146,{"C","Db","D","Eb","E","F","Gb","G","Ab","A","Bb","B"},0)-1)-69)/12),2),""))</f>
        <v/>
      </c>
      <c r="AD146" s="38">
        <f>IF(OR(O146="",Y146=""),"",IFERROR(ROUND(440*2^((12*(Y146+1)+IFERROR(MATCH(T146,{"C","C#","D","D#","E","F","F#","G","G#","A","A#","B"},0)-1,MATCH(T146,{"C","Db","D","Eb","E","F","Gb","G","Ab","A","Bb","B"},0)-1)-69)/12),2),""))</f>
        <v/>
      </c>
      <c r="AE146" s="38">
        <f>IF(OR(P146="",Z146=""),"",IFERROR(ROUND(440*2^((12*(Z146+1)+IFERROR(MATCH(U146,{"C","C#","D","D#","E","F","F#","G","G#","A","A#","B"},0)-1,MATCH(U146,{"C","Db","D","Eb","E","F","Gb","G","Ab","A","Bb","B"},0)-1)-69)/12),2),""))</f>
        <v/>
      </c>
      <c r="AF146" s="38">
        <f>IF(OR(Q146="",AA146=""),"",IFERROR(ROUND(440*2^((12*(AA146+1)+IFERROR(MATCH(V146,{"C","C#","D","D#","E","F","F#","G","G#","A","A#","B"},0)-1,MATCH(V146,{"C","Db","D","Eb","E","F","Gb","G","Ab","A","Bb","B"},0)-1)-69)/12),2),""))</f>
        <v/>
      </c>
      <c r="AG146" s="36" t="n"/>
      <c r="AH146" s="36" t="n"/>
      <c r="AI146" s="36" t="n"/>
      <c r="AJ146" s="36" t="inlineStr">
        <is>
          <t>Low</t>
        </is>
      </c>
      <c r="AK146" s="36" t="inlineStr">
        <is>
          <t>Low</t>
        </is>
      </c>
      <c r="AL146" s="35" t="n"/>
    </row>
    <row r="147">
      <c r="A147" s="35" t="inlineStr">
        <is>
          <t>TEST_015</t>
        </is>
      </c>
      <c r="B147" s="35" t="n">
        <v>5</v>
      </c>
      <c r="C147" s="36" t="n"/>
      <c r="D147" s="36" t="n"/>
      <c r="E147" s="36" t="n"/>
      <c r="F147" s="36" t="n">
        <v>2.68</v>
      </c>
      <c r="G147" s="36" t="n">
        <v>3.38</v>
      </c>
      <c r="H147" s="36" t="n"/>
      <c r="I147" s="36" t="n"/>
      <c r="J147" s="36" t="n"/>
      <c r="K147" s="36" t="n">
        <v>2.86</v>
      </c>
      <c r="L147" s="36" t="n">
        <v>3.51</v>
      </c>
      <c r="M147" s="36" t="n"/>
      <c r="N147" s="36" t="n"/>
      <c r="O147" s="36" t="n"/>
      <c r="P147" s="36" t="inlineStr">
        <is>
          <t>F4</t>
        </is>
      </c>
      <c r="Q147" s="36" t="inlineStr">
        <is>
          <t>D4</t>
        </is>
      </c>
      <c r="R147" s="38">
        <f>IF(M147="","",LEFT(M147,LEN(M147)-1))</f>
        <v/>
      </c>
      <c r="S147" s="38">
        <f>IF(N147="","",LEFT(N147,LEN(N147)-1))</f>
        <v/>
      </c>
      <c r="T147" s="38">
        <f>IF(O147="","",LEFT(O147,LEN(O147)-1))</f>
        <v/>
      </c>
      <c r="U147" s="38">
        <f>IF(P147="","",LEFT(P147,LEN(P147)-1))</f>
        <v/>
      </c>
      <c r="V147" s="38">
        <f>IF(Q147="","",LEFT(Q147,LEN(Q147)-1))</f>
        <v/>
      </c>
      <c r="W147" s="38">
        <f>IF(M147="","",IFERROR(VALUE(RIGHT(M147,1)),""))</f>
        <v/>
      </c>
      <c r="X147" s="38">
        <f>IF(N147="","",IFERROR(VALUE(RIGHT(N147,1)),""))</f>
        <v/>
      </c>
      <c r="Y147" s="38">
        <f>IF(O147="","",IFERROR(VALUE(RIGHT(O147,1)),""))</f>
        <v/>
      </c>
      <c r="Z147" s="38">
        <f>IF(P147="","",IFERROR(VALUE(RIGHT(P147,1)),""))</f>
        <v/>
      </c>
      <c r="AA147" s="38">
        <f>IF(Q147="","",IFERROR(VALUE(RIGHT(Q147,1)),""))</f>
        <v/>
      </c>
      <c r="AB147" s="38">
        <f>IF(OR(M147="",W147=""),"",IFERROR(ROUND(440*2^((12*(W147+1)+IFERROR(MATCH(R147,{"C","C#","D","D#","E","F","F#","G","G#","A","A#","B"},0)-1,MATCH(R147,{"C","Db","D","Eb","E","F","Gb","G","Ab","A","Bb","B"},0)-1)-69)/12),2),""))</f>
        <v/>
      </c>
      <c r="AC147" s="38">
        <f>IF(OR(N147="",X147=""),"",IFERROR(ROUND(440*2^((12*(X147+1)+IFERROR(MATCH(S147,{"C","C#","D","D#","E","F","F#","G","G#","A","A#","B"},0)-1,MATCH(S147,{"C","Db","D","Eb","E","F","Gb","G","Ab","A","Bb","B"},0)-1)-69)/12),2),""))</f>
        <v/>
      </c>
      <c r="AD147" s="38">
        <f>IF(OR(O147="",Y147=""),"",IFERROR(ROUND(440*2^((12*(Y147+1)+IFERROR(MATCH(T147,{"C","C#","D","D#","E","F","F#","G","G#","A","A#","B"},0)-1,MATCH(T147,{"C","Db","D","Eb","E","F","Gb","G","Ab","A","Bb","B"},0)-1)-69)/12),2),""))</f>
        <v/>
      </c>
      <c r="AE147" s="38">
        <f>IF(OR(P147="",Z147=""),"",IFERROR(ROUND(440*2^((12*(Z147+1)+IFERROR(MATCH(U147,{"C","C#","D","D#","E","F","F#","G","G#","A","A#","B"},0)-1,MATCH(U147,{"C","Db","D","Eb","E","F","Gb","G","Ab","A","Bb","B"},0)-1)-69)/12),2),""))</f>
        <v/>
      </c>
      <c r="AF147" s="38">
        <f>IF(OR(Q147="",AA147=""),"",IFERROR(ROUND(440*2^((12*(AA147+1)+IFERROR(MATCH(V147,{"C","C#","D","D#","E","F","F#","G","G#","A","A#","B"},0)-1,MATCH(V147,{"C","Db","D","Eb","E","F","Gb","G","Ab","A","Bb","B"},0)-1)-69)/12),2),""))</f>
        <v/>
      </c>
      <c r="AG147" s="36" t="n"/>
      <c r="AH147" s="36" t="n"/>
      <c r="AI147" s="36" t="n"/>
      <c r="AJ147" s="36" t="inlineStr">
        <is>
          <t>Low</t>
        </is>
      </c>
      <c r="AK147" s="36" t="inlineStr">
        <is>
          <t>Low</t>
        </is>
      </c>
      <c r="AL147" s="35" t="n"/>
    </row>
    <row r="148">
      <c r="A148" s="35" t="inlineStr">
        <is>
          <t>TEST_015</t>
        </is>
      </c>
      <c r="B148" s="35" t="n">
        <v>6</v>
      </c>
      <c r="C148" s="36" t="n"/>
      <c r="D148" s="36" t="n"/>
      <c r="E148" s="36" t="n"/>
      <c r="F148" s="36" t="n">
        <v>2.86</v>
      </c>
      <c r="G148" s="36" t="n">
        <v>3.54</v>
      </c>
      <c r="H148" s="36" t="n"/>
      <c r="I148" s="36" t="n"/>
      <c r="J148" s="36" t="n"/>
      <c r="K148" s="36" t="n">
        <v>3.09</v>
      </c>
      <c r="L148" s="36" t="n">
        <v>3.68</v>
      </c>
      <c r="M148" s="36" t="n"/>
      <c r="N148" s="36" t="n"/>
      <c r="O148" s="36" t="n"/>
      <c r="P148" s="36" t="inlineStr">
        <is>
          <t>D#4</t>
        </is>
      </c>
      <c r="Q148" s="36" t="inlineStr">
        <is>
          <t>E4</t>
        </is>
      </c>
      <c r="R148" s="38">
        <f>IF(M148="","",LEFT(M148,LEN(M148)-1))</f>
        <v/>
      </c>
      <c r="S148" s="38">
        <f>IF(N148="","",LEFT(N148,LEN(N148)-1))</f>
        <v/>
      </c>
      <c r="T148" s="38">
        <f>IF(O148="","",LEFT(O148,LEN(O148)-1))</f>
        <v/>
      </c>
      <c r="U148" s="38">
        <f>IF(P148="","",LEFT(P148,LEN(P148)-1))</f>
        <v/>
      </c>
      <c r="V148" s="38">
        <f>IF(Q148="","",LEFT(Q148,LEN(Q148)-1))</f>
        <v/>
      </c>
      <c r="W148" s="38">
        <f>IF(M148="","",IFERROR(VALUE(RIGHT(M148,1)),""))</f>
        <v/>
      </c>
      <c r="X148" s="38">
        <f>IF(N148="","",IFERROR(VALUE(RIGHT(N148,1)),""))</f>
        <v/>
      </c>
      <c r="Y148" s="38">
        <f>IF(O148="","",IFERROR(VALUE(RIGHT(O148,1)),""))</f>
        <v/>
      </c>
      <c r="Z148" s="38">
        <f>IF(P148="","",IFERROR(VALUE(RIGHT(P148,1)),""))</f>
        <v/>
      </c>
      <c r="AA148" s="38">
        <f>IF(Q148="","",IFERROR(VALUE(RIGHT(Q148,1)),""))</f>
        <v/>
      </c>
      <c r="AB148" s="38">
        <f>IF(OR(M148="",W148=""),"",IFERROR(ROUND(440*2^((12*(W148+1)+IFERROR(MATCH(R148,{"C","C#","D","D#","E","F","F#","G","G#","A","A#","B"},0)-1,MATCH(R148,{"C","Db","D","Eb","E","F","Gb","G","Ab","A","Bb","B"},0)-1)-69)/12),2),""))</f>
        <v/>
      </c>
      <c r="AC148" s="38">
        <f>IF(OR(N148="",X148=""),"",IFERROR(ROUND(440*2^((12*(X148+1)+IFERROR(MATCH(S148,{"C","C#","D","D#","E","F","F#","G","G#","A","A#","B"},0)-1,MATCH(S148,{"C","Db","D","Eb","E","F","Gb","G","Ab","A","Bb","B"},0)-1)-69)/12),2),""))</f>
        <v/>
      </c>
      <c r="AD148" s="38">
        <f>IF(OR(O148="",Y148=""),"",IFERROR(ROUND(440*2^((12*(Y148+1)+IFERROR(MATCH(T148,{"C","C#","D","D#","E","F","F#","G","G#","A","A#","B"},0)-1,MATCH(T148,{"C","Db","D","Eb","E","F","Gb","G","Ab","A","Bb","B"},0)-1)-69)/12),2),""))</f>
        <v/>
      </c>
      <c r="AE148" s="38">
        <f>IF(OR(P148="",Z148=""),"",IFERROR(ROUND(440*2^((12*(Z148+1)+IFERROR(MATCH(U148,{"C","C#","D","D#","E","F","F#","G","G#","A","A#","B"},0)-1,MATCH(U148,{"C","Db","D","Eb","E","F","Gb","G","Ab","A","Bb","B"},0)-1)-69)/12),2),""))</f>
        <v/>
      </c>
      <c r="AF148" s="38">
        <f>IF(OR(Q148="",AA148=""),"",IFERROR(ROUND(440*2^((12*(AA148+1)+IFERROR(MATCH(V148,{"C","C#","D","D#","E","F","F#","G","G#","A","A#","B"},0)-1,MATCH(V148,{"C","Db","D","Eb","E","F","Gb","G","Ab","A","Bb","B"},0)-1)-69)/12),2),""))</f>
        <v/>
      </c>
      <c r="AG148" s="36" t="n"/>
      <c r="AH148" s="36" t="n"/>
      <c r="AI148" s="36" t="n"/>
      <c r="AJ148" s="36" t="inlineStr">
        <is>
          <t>Low</t>
        </is>
      </c>
      <c r="AK148" s="36" t="inlineStr">
        <is>
          <t>Low</t>
        </is>
      </c>
      <c r="AL148" s="35" t="n"/>
    </row>
    <row r="149">
      <c r="A149" s="35" t="inlineStr">
        <is>
          <t>TEST_015</t>
        </is>
      </c>
      <c r="B149" s="35" t="n">
        <v>7</v>
      </c>
      <c r="C149" s="36" t="n"/>
      <c r="D149" s="36" t="n"/>
      <c r="E149" s="36" t="n"/>
      <c r="F149" s="36" t="n">
        <v>3.68</v>
      </c>
      <c r="G149" s="36" t="n">
        <v>3.73</v>
      </c>
      <c r="H149" s="36" t="n"/>
      <c r="I149" s="36" t="n"/>
      <c r="J149" s="36" t="n"/>
      <c r="K149" s="36" t="n">
        <v>3.97</v>
      </c>
      <c r="L149" s="36" t="n">
        <v>3.99</v>
      </c>
      <c r="M149" s="36" t="n"/>
      <c r="N149" s="36" t="n"/>
      <c r="O149" s="36" t="n"/>
      <c r="P149" s="36" t="inlineStr">
        <is>
          <t>D4</t>
        </is>
      </c>
      <c r="Q149" s="36" t="inlineStr">
        <is>
          <t>D4</t>
        </is>
      </c>
      <c r="R149" s="38">
        <f>IF(M149="","",LEFT(M149,LEN(M149)-1))</f>
        <v/>
      </c>
      <c r="S149" s="38">
        <f>IF(N149="","",LEFT(N149,LEN(N149)-1))</f>
        <v/>
      </c>
      <c r="T149" s="38">
        <f>IF(O149="","",LEFT(O149,LEN(O149)-1))</f>
        <v/>
      </c>
      <c r="U149" s="38">
        <f>IF(P149="","",LEFT(P149,LEN(P149)-1))</f>
        <v/>
      </c>
      <c r="V149" s="38">
        <f>IF(Q149="","",LEFT(Q149,LEN(Q149)-1))</f>
        <v/>
      </c>
      <c r="W149" s="38">
        <f>IF(M149="","",IFERROR(VALUE(RIGHT(M149,1)),""))</f>
        <v/>
      </c>
      <c r="X149" s="38">
        <f>IF(N149="","",IFERROR(VALUE(RIGHT(N149,1)),""))</f>
        <v/>
      </c>
      <c r="Y149" s="38">
        <f>IF(O149="","",IFERROR(VALUE(RIGHT(O149,1)),""))</f>
        <v/>
      </c>
      <c r="Z149" s="38">
        <f>IF(P149="","",IFERROR(VALUE(RIGHT(P149,1)),""))</f>
        <v/>
      </c>
      <c r="AA149" s="38">
        <f>IF(Q149="","",IFERROR(VALUE(RIGHT(Q149,1)),""))</f>
        <v/>
      </c>
      <c r="AB149" s="38">
        <f>IF(OR(M149="",W149=""),"",IFERROR(ROUND(440*2^((12*(W149+1)+IFERROR(MATCH(R149,{"C","C#","D","D#","E","F","F#","G","G#","A","A#","B"},0)-1,MATCH(R149,{"C","Db","D","Eb","E","F","Gb","G","Ab","A","Bb","B"},0)-1)-69)/12),2),""))</f>
        <v/>
      </c>
      <c r="AC149" s="38">
        <f>IF(OR(N149="",X149=""),"",IFERROR(ROUND(440*2^((12*(X149+1)+IFERROR(MATCH(S149,{"C","C#","D","D#","E","F","F#","G","G#","A","A#","B"},0)-1,MATCH(S149,{"C","Db","D","Eb","E","F","Gb","G","Ab","A","Bb","B"},0)-1)-69)/12),2),""))</f>
        <v/>
      </c>
      <c r="AD149" s="38">
        <f>IF(OR(O149="",Y149=""),"",IFERROR(ROUND(440*2^((12*(Y149+1)+IFERROR(MATCH(T149,{"C","C#","D","D#","E","F","F#","G","G#","A","A#","B"},0)-1,MATCH(T149,{"C","Db","D","Eb","E","F","Gb","G","Ab","A","Bb","B"},0)-1)-69)/12),2),""))</f>
        <v/>
      </c>
      <c r="AE149" s="38">
        <f>IF(OR(P149="",Z149=""),"",IFERROR(ROUND(440*2^((12*(Z149+1)+IFERROR(MATCH(U149,{"C","C#","D","D#","E","F","F#","G","G#","A","A#","B"},0)-1,MATCH(U149,{"C","Db","D","Eb","E","F","Gb","G","Ab","A","Bb","B"},0)-1)-69)/12),2),""))</f>
        <v/>
      </c>
      <c r="AF149" s="38">
        <f>IF(OR(Q149="",AA149=""),"",IFERROR(ROUND(440*2^((12*(AA149+1)+IFERROR(MATCH(V149,{"C","C#","D","D#","E","F","F#","G","G#","A","A#","B"},0)-1,MATCH(V149,{"C","Db","D","Eb","E","F","Gb","G","Ab","A","Bb","B"},0)-1)-69)/12),2),""))</f>
        <v/>
      </c>
      <c r="AG149" s="36" t="n"/>
      <c r="AH149" s="36" t="n"/>
      <c r="AI149" s="36" t="n"/>
      <c r="AJ149" s="36" t="inlineStr">
        <is>
          <t>Low</t>
        </is>
      </c>
      <c r="AK149" s="36" t="inlineStr">
        <is>
          <t>Medium</t>
        </is>
      </c>
      <c r="AL149" s="35" t="n"/>
    </row>
    <row r="150">
      <c r="A150" s="35" t="inlineStr">
        <is>
          <t>TEST_015</t>
        </is>
      </c>
      <c r="B150" s="35" t="n">
        <v>8</v>
      </c>
      <c r="C150" s="36" t="n"/>
      <c r="D150" s="36" t="n"/>
      <c r="E150" s="36" t="n"/>
      <c r="F150" s="36" t="n">
        <v>5.75</v>
      </c>
      <c r="G150" s="36" t="n">
        <v>5.75</v>
      </c>
      <c r="H150" s="36" t="n"/>
      <c r="I150" s="36" t="n"/>
      <c r="J150" s="36" t="n"/>
      <c r="K150" s="36" t="n">
        <v>5.89</v>
      </c>
      <c r="L150" s="36" t="n">
        <v>5.87</v>
      </c>
      <c r="M150" s="36" t="n"/>
      <c r="N150" s="36" t="n"/>
      <c r="O150" s="36" t="n"/>
      <c r="P150" s="36" t="inlineStr">
        <is>
          <t>E4</t>
        </is>
      </c>
      <c r="Q150" s="36" t="inlineStr">
        <is>
          <t>E4</t>
        </is>
      </c>
      <c r="R150" s="38">
        <f>IF(M150="","",LEFT(M150,LEN(M150)-1))</f>
        <v/>
      </c>
      <c r="S150" s="38">
        <f>IF(N150="","",LEFT(N150,LEN(N150)-1))</f>
        <v/>
      </c>
      <c r="T150" s="38">
        <f>IF(O150="","",LEFT(O150,LEN(O150)-1))</f>
        <v/>
      </c>
      <c r="U150" s="38">
        <f>IF(P150="","",LEFT(P150,LEN(P150)-1))</f>
        <v/>
      </c>
      <c r="V150" s="38">
        <f>IF(Q150="","",LEFT(Q150,LEN(Q150)-1))</f>
        <v/>
      </c>
      <c r="W150" s="38">
        <f>IF(M150="","",IFERROR(VALUE(RIGHT(M150,1)),""))</f>
        <v/>
      </c>
      <c r="X150" s="38">
        <f>IF(N150="","",IFERROR(VALUE(RIGHT(N150,1)),""))</f>
        <v/>
      </c>
      <c r="Y150" s="38">
        <f>IF(O150="","",IFERROR(VALUE(RIGHT(O150,1)),""))</f>
        <v/>
      </c>
      <c r="Z150" s="38">
        <f>IF(P150="","",IFERROR(VALUE(RIGHT(P150,1)),""))</f>
        <v/>
      </c>
      <c r="AA150" s="38">
        <f>IF(Q150="","",IFERROR(VALUE(RIGHT(Q150,1)),""))</f>
        <v/>
      </c>
      <c r="AB150" s="38">
        <f>IF(OR(M150="",W150=""),"",IFERROR(ROUND(440*2^((12*(W150+1)+IFERROR(MATCH(R150,{"C","C#","D","D#","E","F","F#","G","G#","A","A#","B"},0)-1,MATCH(R150,{"C","Db","D","Eb","E","F","Gb","G","Ab","A","Bb","B"},0)-1)-69)/12),2),""))</f>
        <v/>
      </c>
      <c r="AC150" s="38">
        <f>IF(OR(N150="",X150=""),"",IFERROR(ROUND(440*2^((12*(X150+1)+IFERROR(MATCH(S150,{"C","C#","D","D#","E","F","F#","G","G#","A","A#","B"},0)-1,MATCH(S150,{"C","Db","D","Eb","E","F","Gb","G","Ab","A","Bb","B"},0)-1)-69)/12),2),""))</f>
        <v/>
      </c>
      <c r="AD150" s="38">
        <f>IF(OR(O150="",Y150=""),"",IFERROR(ROUND(440*2^((12*(Y150+1)+IFERROR(MATCH(T150,{"C","C#","D","D#","E","F","F#","G","G#","A","A#","B"},0)-1,MATCH(T150,{"C","Db","D","Eb","E","F","Gb","G","Ab","A","Bb","B"},0)-1)-69)/12),2),""))</f>
        <v/>
      </c>
      <c r="AE150" s="38">
        <f>IF(OR(P150="",Z150=""),"",IFERROR(ROUND(440*2^((12*(Z150+1)+IFERROR(MATCH(U150,{"C","C#","D","D#","E","F","F#","G","G#","A","A#","B"},0)-1,MATCH(U150,{"C","Db","D","Eb","E","F","Gb","G","Ab","A","Bb","B"},0)-1)-69)/12),2),""))</f>
        <v/>
      </c>
      <c r="AF150" s="38">
        <f>IF(OR(Q150="",AA150=""),"",IFERROR(ROUND(440*2^((12*(AA150+1)+IFERROR(MATCH(V150,{"C","C#","D","D#","E","F","F#","G","G#","A","A#","B"},0)-1,MATCH(V150,{"C","Db","D","Eb","E","F","Gb","G","Ab","A","Bb","B"},0)-1)-69)/12),2),""))</f>
        <v/>
      </c>
      <c r="AG150" s="36" t="n"/>
      <c r="AH150" s="36" t="n"/>
      <c r="AI150" s="36" t="n"/>
      <c r="AJ150" s="36" t="inlineStr">
        <is>
          <t>Low</t>
        </is>
      </c>
      <c r="AK150" s="36" t="inlineStr">
        <is>
          <t>Low</t>
        </is>
      </c>
      <c r="AL150" s="35" t="n"/>
    </row>
    <row r="151">
      <c r="A151" s="35" t="inlineStr">
        <is>
          <t>TEST_015</t>
        </is>
      </c>
      <c r="B151" s="35" t="n">
        <v>9</v>
      </c>
      <c r="C151" s="36" t="n"/>
      <c r="D151" s="36" t="n"/>
      <c r="E151" s="36" t="n"/>
      <c r="F151" s="36" t="n">
        <v>5.9</v>
      </c>
      <c r="G151" s="36" t="n">
        <v>5.94</v>
      </c>
      <c r="H151" s="36" t="n"/>
      <c r="I151" s="36" t="n"/>
      <c r="J151" s="36" t="n"/>
      <c r="K151" s="36" t="n">
        <v>6.1</v>
      </c>
      <c r="L151" s="36" t="n">
        <v>6.07</v>
      </c>
      <c r="M151" s="36" t="n"/>
      <c r="N151" s="36" t="n"/>
      <c r="O151" s="36" t="n"/>
      <c r="P151" s="36" t="inlineStr">
        <is>
          <t>D4</t>
        </is>
      </c>
      <c r="Q151" s="36" t="inlineStr">
        <is>
          <t>D3</t>
        </is>
      </c>
      <c r="R151" s="38">
        <f>IF(M151="","",LEFT(M151,LEN(M151)-1))</f>
        <v/>
      </c>
      <c r="S151" s="38">
        <f>IF(N151="","",LEFT(N151,LEN(N151)-1))</f>
        <v/>
      </c>
      <c r="T151" s="38">
        <f>IF(O151="","",LEFT(O151,LEN(O151)-1))</f>
        <v/>
      </c>
      <c r="U151" s="38">
        <f>IF(P151="","",LEFT(P151,LEN(P151)-1))</f>
        <v/>
      </c>
      <c r="V151" s="38">
        <f>IF(Q151="","",LEFT(Q151,LEN(Q151)-1))</f>
        <v/>
      </c>
      <c r="W151" s="38">
        <f>IF(M151="","",IFERROR(VALUE(RIGHT(M151,1)),""))</f>
        <v/>
      </c>
      <c r="X151" s="38">
        <f>IF(N151="","",IFERROR(VALUE(RIGHT(N151,1)),""))</f>
        <v/>
      </c>
      <c r="Y151" s="38">
        <f>IF(O151="","",IFERROR(VALUE(RIGHT(O151,1)),""))</f>
        <v/>
      </c>
      <c r="Z151" s="38">
        <f>IF(P151="","",IFERROR(VALUE(RIGHT(P151,1)),""))</f>
        <v/>
      </c>
      <c r="AA151" s="38">
        <f>IF(Q151="","",IFERROR(VALUE(RIGHT(Q151,1)),""))</f>
        <v/>
      </c>
      <c r="AB151" s="38">
        <f>IF(OR(M151="",W151=""),"",IFERROR(ROUND(440*2^((12*(W151+1)+IFERROR(MATCH(R151,{"C","C#","D","D#","E","F","F#","G","G#","A","A#","B"},0)-1,MATCH(R151,{"C","Db","D","Eb","E","F","Gb","G","Ab","A","Bb","B"},0)-1)-69)/12),2),""))</f>
        <v/>
      </c>
      <c r="AC151" s="38">
        <f>IF(OR(N151="",X151=""),"",IFERROR(ROUND(440*2^((12*(X151+1)+IFERROR(MATCH(S151,{"C","C#","D","D#","E","F","F#","G","G#","A","A#","B"},0)-1,MATCH(S151,{"C","Db","D","Eb","E","F","Gb","G","Ab","A","Bb","B"},0)-1)-69)/12),2),""))</f>
        <v/>
      </c>
      <c r="AD151" s="38">
        <f>IF(OR(O151="",Y151=""),"",IFERROR(ROUND(440*2^((12*(Y151+1)+IFERROR(MATCH(T151,{"C","C#","D","D#","E","F","F#","G","G#","A","A#","B"},0)-1,MATCH(T151,{"C","Db","D","Eb","E","F","Gb","G","Ab","A","Bb","B"},0)-1)-69)/12),2),""))</f>
        <v/>
      </c>
      <c r="AE151" s="38">
        <f>IF(OR(P151="",Z151=""),"",IFERROR(ROUND(440*2^((12*(Z151+1)+IFERROR(MATCH(U151,{"C","C#","D","D#","E","F","F#","G","G#","A","A#","B"},0)-1,MATCH(U151,{"C","Db","D","Eb","E","F","Gb","G","Ab","A","Bb","B"},0)-1)-69)/12),2),""))</f>
        <v/>
      </c>
      <c r="AF151" s="38">
        <f>IF(OR(Q151="",AA151=""),"",IFERROR(ROUND(440*2^((12*(AA151+1)+IFERROR(MATCH(V151,{"C","C#","D","D#","E","F","F#","G","G#","A","A#","B"},0)-1,MATCH(V151,{"C","Db","D","Eb","E","F","Gb","G","Ab","A","Bb","B"},0)-1)-69)/12),2),""))</f>
        <v/>
      </c>
      <c r="AG151" s="36" t="n"/>
      <c r="AH151" s="36" t="n"/>
      <c r="AI151" s="36" t="n"/>
      <c r="AJ151" s="36" t="inlineStr">
        <is>
          <t>Low</t>
        </is>
      </c>
      <c r="AK151" s="36" t="inlineStr">
        <is>
          <t>Low</t>
        </is>
      </c>
      <c r="AL151" s="35" t="n"/>
    </row>
    <row r="152">
      <c r="A152" s="35" t="inlineStr">
        <is>
          <t>TEST_015</t>
        </is>
      </c>
      <c r="B152" s="35" t="n">
        <v>10</v>
      </c>
      <c r="C152" s="36" t="n"/>
      <c r="D152" s="36" t="n"/>
      <c r="E152" s="36" t="n"/>
      <c r="F152" s="36" t="n">
        <v>6.11</v>
      </c>
      <c r="G152" s="36" t="n">
        <v>8.58</v>
      </c>
      <c r="H152" s="36" t="n"/>
      <c r="I152" s="36" t="n"/>
      <c r="J152" s="36" t="n"/>
      <c r="K152" s="36" t="n">
        <v>6.24</v>
      </c>
      <c r="L152" s="36" t="n">
        <v>8.789999999999999</v>
      </c>
      <c r="M152" s="36" t="n"/>
      <c r="N152" s="36" t="n"/>
      <c r="O152" s="36" t="n"/>
      <c r="P152" s="36" t="inlineStr">
        <is>
          <t>D#4</t>
        </is>
      </c>
      <c r="Q152" s="36" t="inlineStr">
        <is>
          <t>E4</t>
        </is>
      </c>
      <c r="R152" s="38">
        <f>IF(M152="","",LEFT(M152,LEN(M152)-1))</f>
        <v/>
      </c>
      <c r="S152" s="38">
        <f>IF(N152="","",LEFT(N152,LEN(N152)-1))</f>
        <v/>
      </c>
      <c r="T152" s="38">
        <f>IF(O152="","",LEFT(O152,LEN(O152)-1))</f>
        <v/>
      </c>
      <c r="U152" s="38">
        <f>IF(P152="","",LEFT(P152,LEN(P152)-1))</f>
        <v/>
      </c>
      <c r="V152" s="38">
        <f>IF(Q152="","",LEFT(Q152,LEN(Q152)-1))</f>
        <v/>
      </c>
      <c r="W152" s="38">
        <f>IF(M152="","",IFERROR(VALUE(RIGHT(M152,1)),""))</f>
        <v/>
      </c>
      <c r="X152" s="38">
        <f>IF(N152="","",IFERROR(VALUE(RIGHT(N152,1)),""))</f>
        <v/>
      </c>
      <c r="Y152" s="38">
        <f>IF(O152="","",IFERROR(VALUE(RIGHT(O152,1)),""))</f>
        <v/>
      </c>
      <c r="Z152" s="38">
        <f>IF(P152="","",IFERROR(VALUE(RIGHT(P152,1)),""))</f>
        <v/>
      </c>
      <c r="AA152" s="38">
        <f>IF(Q152="","",IFERROR(VALUE(RIGHT(Q152,1)),""))</f>
        <v/>
      </c>
      <c r="AB152" s="38">
        <f>IF(OR(M152="",W152=""),"",IFERROR(ROUND(440*2^((12*(W152+1)+IFERROR(MATCH(R152,{"C","C#","D","D#","E","F","F#","G","G#","A","A#","B"},0)-1,MATCH(R152,{"C","Db","D","Eb","E","F","Gb","G","Ab","A","Bb","B"},0)-1)-69)/12),2),""))</f>
        <v/>
      </c>
      <c r="AC152" s="38">
        <f>IF(OR(N152="",X152=""),"",IFERROR(ROUND(440*2^((12*(X152+1)+IFERROR(MATCH(S152,{"C","C#","D","D#","E","F","F#","G","G#","A","A#","B"},0)-1,MATCH(S152,{"C","Db","D","Eb","E","F","Gb","G","Ab","A","Bb","B"},0)-1)-69)/12),2),""))</f>
        <v/>
      </c>
      <c r="AD152" s="38">
        <f>IF(OR(O152="",Y152=""),"",IFERROR(ROUND(440*2^((12*(Y152+1)+IFERROR(MATCH(T152,{"C","C#","D","D#","E","F","F#","G","G#","A","A#","B"},0)-1,MATCH(T152,{"C","Db","D","Eb","E","F","Gb","G","Ab","A","Bb","B"},0)-1)-69)/12),2),""))</f>
        <v/>
      </c>
      <c r="AE152" s="38">
        <f>IF(OR(P152="",Z152=""),"",IFERROR(ROUND(440*2^((12*(Z152+1)+IFERROR(MATCH(U152,{"C","C#","D","D#","E","F","F#","G","G#","A","A#","B"},0)-1,MATCH(U152,{"C","Db","D","Eb","E","F","Gb","G","Ab","A","Bb","B"},0)-1)-69)/12),2),""))</f>
        <v/>
      </c>
      <c r="AF152" s="38">
        <f>IF(OR(Q152="",AA152=""),"",IFERROR(ROUND(440*2^((12*(AA152+1)+IFERROR(MATCH(V152,{"C","C#","D","D#","E","F","F#","G","G#","A","A#","B"},0)-1,MATCH(V152,{"C","Db","D","Eb","E","F","Gb","G","Ab","A","Bb","B"},0)-1)-69)/12),2),""))</f>
        <v/>
      </c>
      <c r="AG152" s="36" t="n"/>
      <c r="AH152" s="36" t="n"/>
      <c r="AI152" s="36" t="n"/>
      <c r="AJ152" s="36" t="inlineStr">
        <is>
          <t>Low</t>
        </is>
      </c>
      <c r="AK152" s="36" t="inlineStr">
        <is>
          <t>Medium</t>
        </is>
      </c>
      <c r="AL152" s="35" t="n"/>
    </row>
    <row r="153">
      <c r="A153" s="35" t="inlineStr">
        <is>
          <t>TEST_016</t>
        </is>
      </c>
      <c r="B153" s="35" t="n">
        <v>1</v>
      </c>
      <c r="C153" s="36" t="n"/>
      <c r="D153" s="36" t="n"/>
      <c r="E153" s="36" t="n"/>
      <c r="F153" s="36" t="n">
        <v>1.81</v>
      </c>
      <c r="G153" s="36" t="n">
        <v>1.09</v>
      </c>
      <c r="H153" s="36" t="n"/>
      <c r="I153" s="36" t="n"/>
      <c r="J153" s="36" t="n"/>
      <c r="K153" s="36" t="n">
        <v>2.01</v>
      </c>
      <c r="L153" s="36" t="n">
        <v>1.47</v>
      </c>
      <c r="M153" s="36" t="n"/>
      <c r="N153" s="36" t="inlineStr">
        <is>
          <t>N/A</t>
        </is>
      </c>
      <c r="O153" s="36" t="inlineStr">
        <is>
          <t>N/A</t>
        </is>
      </c>
      <c r="P153" s="36" t="inlineStr">
        <is>
          <t>F5</t>
        </is>
      </c>
      <c r="Q153" s="36" t="inlineStr">
        <is>
          <t>E4</t>
        </is>
      </c>
      <c r="R153" s="38">
        <f>IF(M153="","",LEFT(M153,LEN(M153)-1))</f>
        <v/>
      </c>
      <c r="S153" s="38">
        <f>IF(N153="","",LEFT(N153,LEN(N153)-1))</f>
        <v/>
      </c>
      <c r="T153" s="38">
        <f>IF(O153="","",LEFT(O153,LEN(O153)-1))</f>
        <v/>
      </c>
      <c r="U153" s="38">
        <f>IF(P153="","",LEFT(P153,LEN(P153)-1))</f>
        <v/>
      </c>
      <c r="V153" s="38">
        <f>IF(Q153="","",LEFT(Q153,LEN(Q153)-1))</f>
        <v/>
      </c>
      <c r="W153" s="38">
        <f>IF(M153="","",IFERROR(VALUE(RIGHT(M153,1)),""))</f>
        <v/>
      </c>
      <c r="X153" s="38">
        <f>IF(N153="","",IFERROR(VALUE(RIGHT(N153,1)),""))</f>
        <v/>
      </c>
      <c r="Y153" s="38">
        <f>IF(O153="","",IFERROR(VALUE(RIGHT(O153,1)),""))</f>
        <v/>
      </c>
      <c r="Z153" s="38">
        <f>IF(P153="","",IFERROR(VALUE(RIGHT(P153,1)),""))</f>
        <v/>
      </c>
      <c r="AA153" s="38">
        <f>IF(Q153="","",IFERROR(VALUE(RIGHT(Q153,1)),""))</f>
        <v/>
      </c>
      <c r="AB153" s="38">
        <f>IF(OR(M153="",W153=""),"",IFERROR(ROUND(440*2^((12*(W153+1)+IFERROR(MATCH(R153,{"C","C#","D","D#","E","F","F#","G","G#","A","A#","B"},0)-1,MATCH(R153,{"C","Db","D","Eb","E","F","Gb","G","Ab","A","Bb","B"},0)-1)-69)/12),2),""))</f>
        <v/>
      </c>
      <c r="AC153" s="38">
        <f>IF(OR(N153="",X153=""),"",IFERROR(ROUND(440*2^((12*(X153+1)+IFERROR(MATCH(S153,{"C","C#","D","D#","E","F","F#","G","G#","A","A#","B"},0)-1,MATCH(S153,{"C","Db","D","Eb","E","F","Gb","G","Ab","A","Bb","B"},0)-1)-69)/12),2),""))</f>
        <v/>
      </c>
      <c r="AD153" s="38">
        <f>IF(OR(O153="",Y153=""),"",IFERROR(ROUND(440*2^((12*(Y153+1)+IFERROR(MATCH(T153,{"C","C#","D","D#","E","F","F#","G","G#","A","A#","B"},0)-1,MATCH(T153,{"C","Db","D","Eb","E","F","Gb","G","Ab","A","Bb","B"},0)-1)-69)/12),2),""))</f>
        <v/>
      </c>
      <c r="AE153" s="38">
        <f>IF(OR(P153="",Z153=""),"",IFERROR(ROUND(440*2^((12*(Z153+1)+IFERROR(MATCH(U153,{"C","C#","D","D#","E","F","F#","G","G#","A","A#","B"},0)-1,MATCH(U153,{"C","Db","D","Eb","E","F","Gb","G","Ab","A","Bb","B"},0)-1)-69)/12),2),""))</f>
        <v/>
      </c>
      <c r="AF153" s="38">
        <f>IF(OR(Q153="",AA153=""),"",IFERROR(ROUND(440*2^((12*(AA153+1)+IFERROR(MATCH(V153,{"C","C#","D","D#","E","F","F#","G","G#","A","A#","B"},0)-1,MATCH(V153,{"C","Db","D","Eb","E","F","Gb","G","Ab","A","Bb","B"},0)-1)-69)/12),2),""))</f>
        <v/>
      </c>
      <c r="AG153" s="36" t="n"/>
      <c r="AH153" s="36" t="n"/>
      <c r="AI153" s="36" t="n"/>
      <c r="AJ153" s="36" t="inlineStr">
        <is>
          <t>Low</t>
        </is>
      </c>
      <c r="AK153" s="36" t="inlineStr">
        <is>
          <t>Low</t>
        </is>
      </c>
      <c r="AL15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54">
      <c r="A154" s="35" t="inlineStr">
        <is>
          <t>TEST_016</t>
        </is>
      </c>
      <c r="B154" s="35" t="n">
        <v>2</v>
      </c>
      <c r="C154" s="36" t="n"/>
      <c r="D154" s="36" t="n"/>
      <c r="E154" s="36" t="n"/>
      <c r="F154" s="36" t="n">
        <v>2.18</v>
      </c>
      <c r="G154" s="36" t="n">
        <v>5.18</v>
      </c>
      <c r="H154" s="36" t="n"/>
      <c r="I154" s="36" t="n"/>
      <c r="J154" s="36" t="n"/>
      <c r="K154" s="36" t="n">
        <v>2.37</v>
      </c>
      <c r="L154" s="36" t="n">
        <v>5.89</v>
      </c>
      <c r="M154" s="36" t="n"/>
      <c r="N154" s="36" t="n"/>
      <c r="O154" s="36" t="n"/>
      <c r="P154" s="36" t="inlineStr">
        <is>
          <t>F5</t>
        </is>
      </c>
      <c r="Q154" s="36" t="inlineStr">
        <is>
          <t>E4</t>
        </is>
      </c>
      <c r="R154" s="38">
        <f>IF(M154="","",LEFT(M154,LEN(M154)-1))</f>
        <v/>
      </c>
      <c r="S154" s="38">
        <f>IF(N154="","",LEFT(N154,LEN(N154)-1))</f>
        <v/>
      </c>
      <c r="T154" s="38">
        <f>IF(O154="","",LEFT(O154,LEN(O154)-1))</f>
        <v/>
      </c>
      <c r="U154" s="38">
        <f>IF(P154="","",LEFT(P154,LEN(P154)-1))</f>
        <v/>
      </c>
      <c r="V154" s="38">
        <f>IF(Q154="","",LEFT(Q154,LEN(Q154)-1))</f>
        <v/>
      </c>
      <c r="W154" s="38">
        <f>IF(M154="","",IFERROR(VALUE(RIGHT(M154,1)),""))</f>
        <v/>
      </c>
      <c r="X154" s="38">
        <f>IF(N154="","",IFERROR(VALUE(RIGHT(N154,1)),""))</f>
        <v/>
      </c>
      <c r="Y154" s="38">
        <f>IF(O154="","",IFERROR(VALUE(RIGHT(O154,1)),""))</f>
        <v/>
      </c>
      <c r="Z154" s="38">
        <f>IF(P154="","",IFERROR(VALUE(RIGHT(P154,1)),""))</f>
        <v/>
      </c>
      <c r="AA154" s="38">
        <f>IF(Q154="","",IFERROR(VALUE(RIGHT(Q154,1)),""))</f>
        <v/>
      </c>
      <c r="AB154" s="38">
        <f>IF(OR(M154="",W154=""),"",IFERROR(ROUND(440*2^((12*(W154+1)+IFERROR(MATCH(R154,{"C","C#","D","D#","E","F","F#","G","G#","A","A#","B"},0)-1,MATCH(R154,{"C","Db","D","Eb","E","F","Gb","G","Ab","A","Bb","B"},0)-1)-69)/12),2),""))</f>
        <v/>
      </c>
      <c r="AC154" s="38">
        <f>IF(OR(N154="",X154=""),"",IFERROR(ROUND(440*2^((12*(X154+1)+IFERROR(MATCH(S154,{"C","C#","D","D#","E","F","F#","G","G#","A","A#","B"},0)-1,MATCH(S154,{"C","Db","D","Eb","E","F","Gb","G","Ab","A","Bb","B"},0)-1)-69)/12),2),""))</f>
        <v/>
      </c>
      <c r="AD154" s="38">
        <f>IF(OR(O154="",Y154=""),"",IFERROR(ROUND(440*2^((12*(Y154+1)+IFERROR(MATCH(T154,{"C","C#","D","D#","E","F","F#","G","G#","A","A#","B"},0)-1,MATCH(T154,{"C","Db","D","Eb","E","F","Gb","G","Ab","A","Bb","B"},0)-1)-69)/12),2),""))</f>
        <v/>
      </c>
      <c r="AE154" s="38">
        <f>IF(OR(P154="",Z154=""),"",IFERROR(ROUND(440*2^((12*(Z154+1)+IFERROR(MATCH(U154,{"C","C#","D","D#","E","F","F#","G","G#","A","A#","B"},0)-1,MATCH(U154,{"C","Db","D","Eb","E","F","Gb","G","Ab","A","Bb","B"},0)-1)-69)/12),2),""))</f>
        <v/>
      </c>
      <c r="AF154" s="38">
        <f>IF(OR(Q154="",AA154=""),"",IFERROR(ROUND(440*2^((12*(AA154+1)+IFERROR(MATCH(V154,{"C","C#","D","D#","E","F","F#","G","G#","A","A#","B"},0)-1,MATCH(V154,{"C","Db","D","Eb","E","F","Gb","G","Ab","A","Bb","B"},0)-1)-69)/12),2),""))</f>
        <v/>
      </c>
      <c r="AG154" s="36" t="n"/>
      <c r="AH154" s="36" t="n"/>
      <c r="AI154" s="36" t="n"/>
      <c r="AJ154" s="36" t="inlineStr">
        <is>
          <t>Low</t>
        </is>
      </c>
      <c r="AK154" s="36" t="inlineStr">
        <is>
          <t>Low</t>
        </is>
      </c>
      <c r="AL154" s="35" t="n"/>
    </row>
    <row r="155">
      <c r="A155" s="35" t="inlineStr">
        <is>
          <t>TEST_016</t>
        </is>
      </c>
      <c r="B155" s="35" t="n">
        <v>3</v>
      </c>
      <c r="C155" s="36" t="n"/>
      <c r="D155" s="36" t="n"/>
      <c r="E155" s="36" t="n"/>
      <c r="F155" s="36" t="n">
        <v>2.38</v>
      </c>
      <c r="G155" s="36" t="n">
        <v>6.64</v>
      </c>
      <c r="H155" s="36" t="n"/>
      <c r="I155" s="36" t="n"/>
      <c r="J155" s="36" t="n"/>
      <c r="K155" s="36" t="n">
        <v>4.5</v>
      </c>
      <c r="L155" s="36" t="n">
        <v>7.05</v>
      </c>
      <c r="M155" s="36" t="n"/>
      <c r="N155" s="36" t="n"/>
      <c r="O155" s="36" t="n"/>
      <c r="P155" s="36" t="inlineStr">
        <is>
          <t>A5</t>
        </is>
      </c>
      <c r="Q155" s="36" t="inlineStr">
        <is>
          <t>D4</t>
        </is>
      </c>
      <c r="R155" s="38">
        <f>IF(M155="","",LEFT(M155,LEN(M155)-1))</f>
        <v/>
      </c>
      <c r="S155" s="38">
        <f>IF(N155="","",LEFT(N155,LEN(N155)-1))</f>
        <v/>
      </c>
      <c r="T155" s="38">
        <f>IF(O155="","",LEFT(O155,LEN(O155)-1))</f>
        <v/>
      </c>
      <c r="U155" s="38">
        <f>IF(P155="","",LEFT(P155,LEN(P155)-1))</f>
        <v/>
      </c>
      <c r="V155" s="38">
        <f>IF(Q155="","",LEFT(Q155,LEN(Q155)-1))</f>
        <v/>
      </c>
      <c r="W155" s="38">
        <f>IF(M155="","",IFERROR(VALUE(RIGHT(M155,1)),""))</f>
        <v/>
      </c>
      <c r="X155" s="38">
        <f>IF(N155="","",IFERROR(VALUE(RIGHT(N155,1)),""))</f>
        <v/>
      </c>
      <c r="Y155" s="38">
        <f>IF(O155="","",IFERROR(VALUE(RIGHT(O155,1)),""))</f>
        <v/>
      </c>
      <c r="Z155" s="38">
        <f>IF(P155="","",IFERROR(VALUE(RIGHT(P155,1)),""))</f>
        <v/>
      </c>
      <c r="AA155" s="38">
        <f>IF(Q155="","",IFERROR(VALUE(RIGHT(Q155,1)),""))</f>
        <v/>
      </c>
      <c r="AB155" s="38">
        <f>IF(OR(M155="",W155=""),"",IFERROR(ROUND(440*2^((12*(W155+1)+IFERROR(MATCH(R155,{"C","C#","D","D#","E","F","F#","G","G#","A","A#","B"},0)-1,MATCH(R155,{"C","Db","D","Eb","E","F","Gb","G","Ab","A","Bb","B"},0)-1)-69)/12),2),""))</f>
        <v/>
      </c>
      <c r="AC155" s="38">
        <f>IF(OR(N155="",X155=""),"",IFERROR(ROUND(440*2^((12*(X155+1)+IFERROR(MATCH(S155,{"C","C#","D","D#","E","F","F#","G","G#","A","A#","B"},0)-1,MATCH(S155,{"C","Db","D","Eb","E","F","Gb","G","Ab","A","Bb","B"},0)-1)-69)/12),2),""))</f>
        <v/>
      </c>
      <c r="AD155" s="38">
        <f>IF(OR(O155="",Y155=""),"",IFERROR(ROUND(440*2^((12*(Y155+1)+IFERROR(MATCH(T155,{"C","C#","D","D#","E","F","F#","G","G#","A","A#","B"},0)-1,MATCH(T155,{"C","Db","D","Eb","E","F","Gb","G","Ab","A","Bb","B"},0)-1)-69)/12),2),""))</f>
        <v/>
      </c>
      <c r="AE155" s="38">
        <f>IF(OR(P155="",Z155=""),"",IFERROR(ROUND(440*2^((12*(Z155+1)+IFERROR(MATCH(U155,{"C","C#","D","D#","E","F","F#","G","G#","A","A#","B"},0)-1,MATCH(U155,{"C","Db","D","Eb","E","F","Gb","G","Ab","A","Bb","B"},0)-1)-69)/12),2),""))</f>
        <v/>
      </c>
      <c r="AF155" s="38">
        <f>IF(OR(Q155="",AA155=""),"",IFERROR(ROUND(440*2^((12*(AA155+1)+IFERROR(MATCH(V155,{"C","C#","D","D#","E","F","F#","G","G#","A","A#","B"},0)-1,MATCH(V155,{"C","Db","D","Eb","E","F","Gb","G","Ab","A","Bb","B"},0)-1)-69)/12),2),""))</f>
        <v/>
      </c>
      <c r="AG155" s="36" t="n"/>
      <c r="AH155" s="36" t="n"/>
      <c r="AI155" s="36" t="n"/>
      <c r="AJ155" s="36" t="inlineStr">
        <is>
          <t>Low</t>
        </is>
      </c>
      <c r="AK155" s="36" t="inlineStr">
        <is>
          <t>Low</t>
        </is>
      </c>
      <c r="AL155" s="35" t="n"/>
    </row>
    <row r="156">
      <c r="A156" s="35" t="inlineStr">
        <is>
          <t>TEST_016</t>
        </is>
      </c>
      <c r="B156" s="35" t="n">
        <v>4</v>
      </c>
      <c r="C156" s="36" t="n"/>
      <c r="D156" s="36" t="n"/>
      <c r="E156" s="36" t="n"/>
      <c r="F156" s="36" t="n">
        <v>7.12</v>
      </c>
      <c r="G156" s="36" t="n">
        <v>7.09</v>
      </c>
      <c r="H156" s="36" t="n"/>
      <c r="I156" s="36" t="n"/>
      <c r="J156" s="36" t="n"/>
      <c r="K156" s="36" t="n">
        <v>7.32</v>
      </c>
      <c r="L156" s="36" t="n">
        <v>7.28</v>
      </c>
      <c r="M156" s="36" t="n"/>
      <c r="N156" s="36" t="n"/>
      <c r="O156" s="36" t="n"/>
      <c r="P156" s="36" t="inlineStr">
        <is>
          <t>B5</t>
        </is>
      </c>
      <c r="Q156" s="36" t="inlineStr">
        <is>
          <t>E4</t>
        </is>
      </c>
      <c r="R156" s="38">
        <f>IF(M156="","",LEFT(M156,LEN(M156)-1))</f>
        <v/>
      </c>
      <c r="S156" s="38">
        <f>IF(N156="","",LEFT(N156,LEN(N156)-1))</f>
        <v/>
      </c>
      <c r="T156" s="38">
        <f>IF(O156="","",LEFT(O156,LEN(O156)-1))</f>
        <v/>
      </c>
      <c r="U156" s="38">
        <f>IF(P156="","",LEFT(P156,LEN(P156)-1))</f>
        <v/>
      </c>
      <c r="V156" s="38">
        <f>IF(Q156="","",LEFT(Q156,LEN(Q156)-1))</f>
        <v/>
      </c>
      <c r="W156" s="38">
        <f>IF(M156="","",IFERROR(VALUE(RIGHT(M156,1)),""))</f>
        <v/>
      </c>
      <c r="X156" s="38">
        <f>IF(N156="","",IFERROR(VALUE(RIGHT(N156,1)),""))</f>
        <v/>
      </c>
      <c r="Y156" s="38">
        <f>IF(O156="","",IFERROR(VALUE(RIGHT(O156,1)),""))</f>
        <v/>
      </c>
      <c r="Z156" s="38">
        <f>IF(P156="","",IFERROR(VALUE(RIGHT(P156,1)),""))</f>
        <v/>
      </c>
      <c r="AA156" s="38">
        <f>IF(Q156="","",IFERROR(VALUE(RIGHT(Q156,1)),""))</f>
        <v/>
      </c>
      <c r="AB156" s="38">
        <f>IF(OR(M156="",W156=""),"",IFERROR(ROUND(440*2^((12*(W156+1)+IFERROR(MATCH(R156,{"C","C#","D","D#","E","F","F#","G","G#","A","A#","B"},0)-1,MATCH(R156,{"C","Db","D","Eb","E","F","Gb","G","Ab","A","Bb","B"},0)-1)-69)/12),2),""))</f>
        <v/>
      </c>
      <c r="AC156" s="38">
        <f>IF(OR(N156="",X156=""),"",IFERROR(ROUND(440*2^((12*(X156+1)+IFERROR(MATCH(S156,{"C","C#","D","D#","E","F","F#","G","G#","A","A#","B"},0)-1,MATCH(S156,{"C","Db","D","Eb","E","F","Gb","G","Ab","A","Bb","B"},0)-1)-69)/12),2),""))</f>
        <v/>
      </c>
      <c r="AD156" s="38">
        <f>IF(OR(O156="",Y156=""),"",IFERROR(ROUND(440*2^((12*(Y156+1)+IFERROR(MATCH(T156,{"C","C#","D","D#","E","F","F#","G","G#","A","A#","B"},0)-1,MATCH(T156,{"C","Db","D","Eb","E","F","Gb","G","Ab","A","Bb","B"},0)-1)-69)/12),2),""))</f>
        <v/>
      </c>
      <c r="AE156" s="38">
        <f>IF(OR(P156="",Z156=""),"",IFERROR(ROUND(440*2^((12*(Z156+1)+IFERROR(MATCH(U156,{"C","C#","D","D#","E","F","F#","G","G#","A","A#","B"},0)-1,MATCH(U156,{"C","Db","D","Eb","E","F","Gb","G","Ab","A","Bb","B"},0)-1)-69)/12),2),""))</f>
        <v/>
      </c>
      <c r="AF156" s="38">
        <f>IF(OR(Q156="",AA156=""),"",IFERROR(ROUND(440*2^((12*(AA156+1)+IFERROR(MATCH(V156,{"C","C#","D","D#","E","F","F#","G","G#","A","A#","B"},0)-1,MATCH(V156,{"C","Db","D","Eb","E","F","Gb","G","Ab","A","Bb","B"},0)-1)-69)/12),2),""))</f>
        <v/>
      </c>
      <c r="AG156" s="36" t="n"/>
      <c r="AH156" s="36" t="n"/>
      <c r="AI156" s="36" t="n"/>
      <c r="AJ156" s="36" t="inlineStr">
        <is>
          <t>Low</t>
        </is>
      </c>
      <c r="AK156" s="36" t="inlineStr">
        <is>
          <t>Low</t>
        </is>
      </c>
      <c r="AL156" s="35" t="n"/>
    </row>
    <row r="157">
      <c r="A157" s="35" t="inlineStr">
        <is>
          <t>TEST_016</t>
        </is>
      </c>
      <c r="B157" s="35" t="n">
        <v>5</v>
      </c>
      <c r="C157" s="36" t="n"/>
      <c r="D157" s="36" t="n"/>
      <c r="E157" s="36" t="n"/>
      <c r="F157" s="36" t="n">
        <v>15.11</v>
      </c>
      <c r="G157" s="36" t="n">
        <v>7.48</v>
      </c>
      <c r="H157" s="36" t="n"/>
      <c r="I157" s="36" t="n"/>
      <c r="J157" s="36" t="n"/>
      <c r="K157" s="36" t="n">
        <v>15.42</v>
      </c>
      <c r="L157" s="36" t="n">
        <v>7.95</v>
      </c>
      <c r="M157" s="36" t="n"/>
      <c r="N157" s="36" t="n"/>
      <c r="O157" s="36" t="n"/>
      <c r="P157" s="36" t="inlineStr">
        <is>
          <t>E4</t>
        </is>
      </c>
      <c r="Q157" s="36" t="inlineStr">
        <is>
          <t>E3</t>
        </is>
      </c>
      <c r="R157" s="38">
        <f>IF(M157="","",LEFT(M157,LEN(M157)-1))</f>
        <v/>
      </c>
      <c r="S157" s="38">
        <f>IF(N157="","",LEFT(N157,LEN(N157)-1))</f>
        <v/>
      </c>
      <c r="T157" s="38">
        <f>IF(O157="","",LEFT(O157,LEN(O157)-1))</f>
        <v/>
      </c>
      <c r="U157" s="38">
        <f>IF(P157="","",LEFT(P157,LEN(P157)-1))</f>
        <v/>
      </c>
      <c r="V157" s="38">
        <f>IF(Q157="","",LEFT(Q157,LEN(Q157)-1))</f>
        <v/>
      </c>
      <c r="W157" s="38">
        <f>IF(M157="","",IFERROR(VALUE(RIGHT(M157,1)),""))</f>
        <v/>
      </c>
      <c r="X157" s="38">
        <f>IF(N157="","",IFERROR(VALUE(RIGHT(N157,1)),""))</f>
        <v/>
      </c>
      <c r="Y157" s="38">
        <f>IF(O157="","",IFERROR(VALUE(RIGHT(O157,1)),""))</f>
        <v/>
      </c>
      <c r="Z157" s="38">
        <f>IF(P157="","",IFERROR(VALUE(RIGHT(P157,1)),""))</f>
        <v/>
      </c>
      <c r="AA157" s="38">
        <f>IF(Q157="","",IFERROR(VALUE(RIGHT(Q157,1)),""))</f>
        <v/>
      </c>
      <c r="AB157" s="38">
        <f>IF(OR(M157="",W157=""),"",IFERROR(ROUND(440*2^((12*(W157+1)+IFERROR(MATCH(R157,{"C","C#","D","D#","E","F","F#","G","G#","A","A#","B"},0)-1,MATCH(R157,{"C","Db","D","Eb","E","F","Gb","G","Ab","A","Bb","B"},0)-1)-69)/12),2),""))</f>
        <v/>
      </c>
      <c r="AC157" s="38">
        <f>IF(OR(N157="",X157=""),"",IFERROR(ROUND(440*2^((12*(X157+1)+IFERROR(MATCH(S157,{"C","C#","D","D#","E","F","F#","G","G#","A","A#","B"},0)-1,MATCH(S157,{"C","Db","D","Eb","E","F","Gb","G","Ab","A","Bb","B"},0)-1)-69)/12),2),""))</f>
        <v/>
      </c>
      <c r="AD157" s="38">
        <f>IF(OR(O157="",Y157=""),"",IFERROR(ROUND(440*2^((12*(Y157+1)+IFERROR(MATCH(T157,{"C","C#","D","D#","E","F","F#","G","G#","A","A#","B"},0)-1,MATCH(T157,{"C","Db","D","Eb","E","F","Gb","G","Ab","A","Bb","B"},0)-1)-69)/12),2),""))</f>
        <v/>
      </c>
      <c r="AE157" s="38">
        <f>IF(OR(P157="",Z157=""),"",IFERROR(ROUND(440*2^((12*(Z157+1)+IFERROR(MATCH(U157,{"C","C#","D","D#","E","F","F#","G","G#","A","A#","B"},0)-1,MATCH(U157,{"C","Db","D","Eb","E","F","Gb","G","Ab","A","Bb","B"},0)-1)-69)/12),2),""))</f>
        <v/>
      </c>
      <c r="AF157" s="38">
        <f>IF(OR(Q157="",AA157=""),"",IFERROR(ROUND(440*2^((12*(AA157+1)+IFERROR(MATCH(V157,{"C","C#","D","D#","E","F","F#","G","G#","A","A#","B"},0)-1,MATCH(V157,{"C","Db","D","Eb","E","F","Gb","G","Ab","A","Bb","B"},0)-1)-69)/12),2),""))</f>
        <v/>
      </c>
      <c r="AG157" s="36" t="n"/>
      <c r="AH157" s="36" t="n"/>
      <c r="AI157" s="36" t="n"/>
      <c r="AJ157" s="36" t="inlineStr">
        <is>
          <t>Low</t>
        </is>
      </c>
      <c r="AK157" s="36" t="inlineStr">
        <is>
          <t>Low</t>
        </is>
      </c>
      <c r="AL157" s="35" t="n"/>
    </row>
    <row r="158">
      <c r="A158" s="35" t="inlineStr">
        <is>
          <t>TEST_016</t>
        </is>
      </c>
      <c r="B158" s="35" t="n">
        <v>6</v>
      </c>
      <c r="C158" s="36" t="n"/>
      <c r="D158" s="36" t="n"/>
      <c r="E158" s="36" t="n"/>
      <c r="F158" s="36" t="n">
        <v>15.88</v>
      </c>
      <c r="G158" s="36" t="n">
        <v>7.99</v>
      </c>
      <c r="H158" s="36" t="n"/>
      <c r="I158" s="36" t="n"/>
      <c r="J158" s="36" t="n"/>
      <c r="K158" s="36" t="n">
        <v>16.29</v>
      </c>
      <c r="L158" s="36" t="n">
        <v>8.210000000000001</v>
      </c>
      <c r="M158" s="36" t="n"/>
      <c r="N158" s="36" t="n"/>
      <c r="O158" s="36" t="n"/>
      <c r="P158" s="36" t="inlineStr">
        <is>
          <t>G#4</t>
        </is>
      </c>
      <c r="Q158" s="36" t="inlineStr">
        <is>
          <t>A2</t>
        </is>
      </c>
      <c r="R158" s="38">
        <f>IF(M158="","",LEFT(M158,LEN(M158)-1))</f>
        <v/>
      </c>
      <c r="S158" s="38">
        <f>IF(N158="","",LEFT(N158,LEN(N158)-1))</f>
        <v/>
      </c>
      <c r="T158" s="38">
        <f>IF(O158="","",LEFT(O158,LEN(O158)-1))</f>
        <v/>
      </c>
      <c r="U158" s="38">
        <f>IF(P158="","",LEFT(P158,LEN(P158)-1))</f>
        <v/>
      </c>
      <c r="V158" s="38">
        <f>IF(Q158="","",LEFT(Q158,LEN(Q158)-1))</f>
        <v/>
      </c>
      <c r="W158" s="38">
        <f>IF(M158="","",IFERROR(VALUE(RIGHT(M158,1)),""))</f>
        <v/>
      </c>
      <c r="X158" s="38">
        <f>IF(N158="","",IFERROR(VALUE(RIGHT(N158,1)),""))</f>
        <v/>
      </c>
      <c r="Y158" s="38">
        <f>IF(O158="","",IFERROR(VALUE(RIGHT(O158,1)),""))</f>
        <v/>
      </c>
      <c r="Z158" s="38">
        <f>IF(P158="","",IFERROR(VALUE(RIGHT(P158,1)),""))</f>
        <v/>
      </c>
      <c r="AA158" s="38">
        <f>IF(Q158="","",IFERROR(VALUE(RIGHT(Q158,1)),""))</f>
        <v/>
      </c>
      <c r="AB158" s="38">
        <f>IF(OR(M158="",W158=""),"",IFERROR(ROUND(440*2^((12*(W158+1)+IFERROR(MATCH(R158,{"C","C#","D","D#","E","F","F#","G","G#","A","A#","B"},0)-1,MATCH(R158,{"C","Db","D","Eb","E","F","Gb","G","Ab","A","Bb","B"},0)-1)-69)/12),2),""))</f>
        <v/>
      </c>
      <c r="AC158" s="38">
        <f>IF(OR(N158="",X158=""),"",IFERROR(ROUND(440*2^((12*(X158+1)+IFERROR(MATCH(S158,{"C","C#","D","D#","E","F","F#","G","G#","A","A#","B"},0)-1,MATCH(S158,{"C","Db","D","Eb","E","F","Gb","G","Ab","A","Bb","B"},0)-1)-69)/12),2),""))</f>
        <v/>
      </c>
      <c r="AD158" s="38">
        <f>IF(OR(O158="",Y158=""),"",IFERROR(ROUND(440*2^((12*(Y158+1)+IFERROR(MATCH(T158,{"C","C#","D","D#","E","F","F#","G","G#","A","A#","B"},0)-1,MATCH(T158,{"C","Db","D","Eb","E","F","Gb","G","Ab","A","Bb","B"},0)-1)-69)/12),2),""))</f>
        <v/>
      </c>
      <c r="AE158" s="38">
        <f>IF(OR(P158="",Z158=""),"",IFERROR(ROUND(440*2^((12*(Z158+1)+IFERROR(MATCH(U158,{"C","C#","D","D#","E","F","F#","G","G#","A","A#","B"},0)-1,MATCH(U158,{"C","Db","D","Eb","E","F","Gb","G","Ab","A","Bb","B"},0)-1)-69)/12),2),""))</f>
        <v/>
      </c>
      <c r="AF158" s="38">
        <f>IF(OR(Q158="",AA158=""),"",IFERROR(ROUND(440*2^((12*(AA158+1)+IFERROR(MATCH(V158,{"C","C#","D","D#","E","F","F#","G","G#","A","A#","B"},0)-1,MATCH(V158,{"C","Db","D","Eb","E","F","Gb","G","Ab","A","Bb","B"},0)-1)-69)/12),2),""))</f>
        <v/>
      </c>
      <c r="AG158" s="36" t="n"/>
      <c r="AH158" s="36" t="n"/>
      <c r="AI158" s="36" t="n"/>
      <c r="AJ158" s="36" t="inlineStr">
        <is>
          <t>Low</t>
        </is>
      </c>
      <c r="AK158" s="36" t="inlineStr">
        <is>
          <t>Low</t>
        </is>
      </c>
      <c r="AL158" s="35" t="n"/>
    </row>
    <row r="159">
      <c r="A159" s="35" t="inlineStr">
        <is>
          <t>TEST_016</t>
        </is>
      </c>
      <c r="B159" s="35" t="n">
        <v>7</v>
      </c>
      <c r="C159" s="36" t="n"/>
      <c r="D159" s="36" t="n"/>
      <c r="E159" s="36" t="n"/>
      <c r="F159" s="36" t="n">
        <v>16.29</v>
      </c>
      <c r="G159" s="36" t="n">
        <v>10.44</v>
      </c>
      <c r="H159" s="36" t="n"/>
      <c r="I159" s="36" t="n"/>
      <c r="J159" s="36" t="n"/>
      <c r="K159" s="36" t="n">
        <v>16.7</v>
      </c>
      <c r="L159" s="36" t="n">
        <v>10.57</v>
      </c>
      <c r="M159" s="36" t="n"/>
      <c r="N159" s="36" t="n"/>
      <c r="O159" s="36" t="n"/>
      <c r="P159" s="36" t="inlineStr">
        <is>
          <t>G#4</t>
        </is>
      </c>
      <c r="Q159" s="36" t="inlineStr">
        <is>
          <t>D#4</t>
        </is>
      </c>
      <c r="R159" s="38">
        <f>IF(M159="","",LEFT(M159,LEN(M159)-1))</f>
        <v/>
      </c>
      <c r="S159" s="38">
        <f>IF(N159="","",LEFT(N159,LEN(N159)-1))</f>
        <v/>
      </c>
      <c r="T159" s="38">
        <f>IF(O159="","",LEFT(O159,LEN(O159)-1))</f>
        <v/>
      </c>
      <c r="U159" s="38">
        <f>IF(P159="","",LEFT(P159,LEN(P159)-1))</f>
        <v/>
      </c>
      <c r="V159" s="38">
        <f>IF(Q159="","",LEFT(Q159,LEN(Q159)-1))</f>
        <v/>
      </c>
      <c r="W159" s="38">
        <f>IF(M159="","",IFERROR(VALUE(RIGHT(M159,1)),""))</f>
        <v/>
      </c>
      <c r="X159" s="38">
        <f>IF(N159="","",IFERROR(VALUE(RIGHT(N159,1)),""))</f>
        <v/>
      </c>
      <c r="Y159" s="38">
        <f>IF(O159="","",IFERROR(VALUE(RIGHT(O159,1)),""))</f>
        <v/>
      </c>
      <c r="Z159" s="38">
        <f>IF(P159="","",IFERROR(VALUE(RIGHT(P159,1)),""))</f>
        <v/>
      </c>
      <c r="AA159" s="38">
        <f>IF(Q159="","",IFERROR(VALUE(RIGHT(Q159,1)),""))</f>
        <v/>
      </c>
      <c r="AB159" s="38">
        <f>IF(OR(M159="",W159=""),"",IFERROR(ROUND(440*2^((12*(W159+1)+IFERROR(MATCH(R159,{"C","C#","D","D#","E","F","F#","G","G#","A","A#","B"},0)-1,MATCH(R159,{"C","Db","D","Eb","E","F","Gb","G","Ab","A","Bb","B"},0)-1)-69)/12),2),""))</f>
        <v/>
      </c>
      <c r="AC159" s="38">
        <f>IF(OR(N159="",X159=""),"",IFERROR(ROUND(440*2^((12*(X159+1)+IFERROR(MATCH(S159,{"C","C#","D","D#","E","F","F#","G","G#","A","A#","B"},0)-1,MATCH(S159,{"C","Db","D","Eb","E","F","Gb","G","Ab","A","Bb","B"},0)-1)-69)/12),2),""))</f>
        <v/>
      </c>
      <c r="AD159" s="38">
        <f>IF(OR(O159="",Y159=""),"",IFERROR(ROUND(440*2^((12*(Y159+1)+IFERROR(MATCH(T159,{"C","C#","D","D#","E","F","F#","G","G#","A","A#","B"},0)-1,MATCH(T159,{"C","Db","D","Eb","E","F","Gb","G","Ab","A","Bb","B"},0)-1)-69)/12),2),""))</f>
        <v/>
      </c>
      <c r="AE159" s="38">
        <f>IF(OR(P159="",Z159=""),"",IFERROR(ROUND(440*2^((12*(Z159+1)+IFERROR(MATCH(U159,{"C","C#","D","D#","E","F","F#","G","G#","A","A#","B"},0)-1,MATCH(U159,{"C","Db","D","Eb","E","F","Gb","G","Ab","A","Bb","B"},0)-1)-69)/12),2),""))</f>
        <v/>
      </c>
      <c r="AF159" s="38">
        <f>IF(OR(Q159="",AA159=""),"",IFERROR(ROUND(440*2^((12*(AA159+1)+IFERROR(MATCH(V159,{"C","C#","D","D#","E","F","F#","G","G#","A","A#","B"},0)-1,MATCH(V159,{"C","Db","D","Eb","E","F","Gb","G","Ab","A","Bb","B"},0)-1)-69)/12),2),""))</f>
        <v/>
      </c>
      <c r="AG159" s="36" t="n"/>
      <c r="AH159" s="36" t="n"/>
      <c r="AI159" s="36" t="n"/>
      <c r="AJ159" s="36" t="inlineStr">
        <is>
          <t>Low</t>
        </is>
      </c>
      <c r="AK159" s="36" t="inlineStr">
        <is>
          <t>Low</t>
        </is>
      </c>
      <c r="AL159" s="35" t="n"/>
    </row>
    <row r="160">
      <c r="A160" s="35" t="inlineStr">
        <is>
          <t>TEST_016</t>
        </is>
      </c>
      <c r="B160" s="35" t="n">
        <v>8</v>
      </c>
      <c r="C160" s="36" t="n"/>
      <c r="D160" s="36" t="n"/>
      <c r="E160" s="36" t="n"/>
      <c r="F160" s="36" t="n">
        <v>16.71</v>
      </c>
      <c r="G160" s="36" t="n">
        <v>12.49</v>
      </c>
      <c r="H160" s="36" t="n"/>
      <c r="I160" s="36" t="n"/>
      <c r="J160" s="36" t="n"/>
      <c r="K160" s="36" t="n">
        <v>16.84</v>
      </c>
      <c r="L160" s="36" t="n">
        <v>13.27</v>
      </c>
      <c r="M160" s="36" t="n"/>
      <c r="N160" s="36" t="n"/>
      <c r="O160" s="36" t="n"/>
      <c r="P160" s="36" t="inlineStr">
        <is>
          <t>A5</t>
        </is>
      </c>
      <c r="Q160" s="36" t="inlineStr">
        <is>
          <t>E4</t>
        </is>
      </c>
      <c r="R160" s="38">
        <f>IF(M160="","",LEFT(M160,LEN(M160)-1))</f>
        <v/>
      </c>
      <c r="S160" s="38">
        <f>IF(N160="","",LEFT(N160,LEN(N160)-1))</f>
        <v/>
      </c>
      <c r="T160" s="38">
        <f>IF(O160="","",LEFT(O160,LEN(O160)-1))</f>
        <v/>
      </c>
      <c r="U160" s="38">
        <f>IF(P160="","",LEFT(P160,LEN(P160)-1))</f>
        <v/>
      </c>
      <c r="V160" s="38">
        <f>IF(Q160="","",LEFT(Q160,LEN(Q160)-1))</f>
        <v/>
      </c>
      <c r="W160" s="38">
        <f>IF(M160="","",IFERROR(VALUE(RIGHT(M160,1)),""))</f>
        <v/>
      </c>
      <c r="X160" s="38">
        <f>IF(N160="","",IFERROR(VALUE(RIGHT(N160,1)),""))</f>
        <v/>
      </c>
      <c r="Y160" s="38">
        <f>IF(O160="","",IFERROR(VALUE(RIGHT(O160,1)),""))</f>
        <v/>
      </c>
      <c r="Z160" s="38">
        <f>IF(P160="","",IFERROR(VALUE(RIGHT(P160,1)),""))</f>
        <v/>
      </c>
      <c r="AA160" s="38">
        <f>IF(Q160="","",IFERROR(VALUE(RIGHT(Q160,1)),""))</f>
        <v/>
      </c>
      <c r="AB160" s="38">
        <f>IF(OR(M160="",W160=""),"",IFERROR(ROUND(440*2^((12*(W160+1)+IFERROR(MATCH(R160,{"C","C#","D","D#","E","F","F#","G","G#","A","A#","B"},0)-1,MATCH(R160,{"C","Db","D","Eb","E","F","Gb","G","Ab","A","Bb","B"},0)-1)-69)/12),2),""))</f>
        <v/>
      </c>
      <c r="AC160" s="38">
        <f>IF(OR(N160="",X160=""),"",IFERROR(ROUND(440*2^((12*(X160+1)+IFERROR(MATCH(S160,{"C","C#","D","D#","E","F","F#","G","G#","A","A#","B"},0)-1,MATCH(S160,{"C","Db","D","Eb","E","F","Gb","G","Ab","A","Bb","B"},0)-1)-69)/12),2),""))</f>
        <v/>
      </c>
      <c r="AD160" s="38">
        <f>IF(OR(O160="",Y160=""),"",IFERROR(ROUND(440*2^((12*(Y160+1)+IFERROR(MATCH(T160,{"C","C#","D","D#","E","F","F#","G","G#","A","A#","B"},0)-1,MATCH(T160,{"C","Db","D","Eb","E","F","Gb","G","Ab","A","Bb","B"},0)-1)-69)/12),2),""))</f>
        <v/>
      </c>
      <c r="AE160" s="38">
        <f>IF(OR(P160="",Z160=""),"",IFERROR(ROUND(440*2^((12*(Z160+1)+IFERROR(MATCH(U160,{"C","C#","D","D#","E","F","F#","G","G#","A","A#","B"},0)-1,MATCH(U160,{"C","Db","D","Eb","E","F","Gb","G","Ab","A","Bb","B"},0)-1)-69)/12),2),""))</f>
        <v/>
      </c>
      <c r="AF160" s="38">
        <f>IF(OR(Q160="",AA160=""),"",IFERROR(ROUND(440*2^((12*(AA160+1)+IFERROR(MATCH(V160,{"C","C#","D","D#","E","F","F#","G","G#","A","A#","B"},0)-1,MATCH(V160,{"C","Db","D","Eb","E","F","Gb","G","Ab","A","Bb","B"},0)-1)-69)/12),2),""))</f>
        <v/>
      </c>
      <c r="AG160" s="36" t="n"/>
      <c r="AH160" s="36" t="n"/>
      <c r="AI160" s="36" t="n"/>
      <c r="AJ160" s="36" t="inlineStr">
        <is>
          <t>Low</t>
        </is>
      </c>
      <c r="AK160" s="36" t="inlineStr">
        <is>
          <t>Low</t>
        </is>
      </c>
      <c r="AL160" s="35" t="n"/>
    </row>
    <row r="161">
      <c r="A161" s="35" t="inlineStr">
        <is>
          <t>TEST_016</t>
        </is>
      </c>
      <c r="B161" s="35" t="n">
        <v>9</v>
      </c>
      <c r="C161" s="36" t="n"/>
      <c r="D161" s="36" t="n"/>
      <c r="E161" s="36" t="n"/>
      <c r="F161" s="36" t="n">
        <v>16.85</v>
      </c>
      <c r="G161" s="36" t="n">
        <v>15.07</v>
      </c>
      <c r="H161" s="36" t="n"/>
      <c r="I161" s="36" t="n"/>
      <c r="J161" s="36" t="n"/>
      <c r="K161" s="36" t="n">
        <v>17.02</v>
      </c>
      <c r="L161" s="36" t="n">
        <v>15.31</v>
      </c>
      <c r="M161" s="36" t="n"/>
      <c r="N161" s="36" t="n"/>
      <c r="O161" s="36" t="n"/>
      <c r="P161" s="36" t="inlineStr">
        <is>
          <t>A5</t>
        </is>
      </c>
      <c r="Q161" s="36" t="inlineStr">
        <is>
          <t>D#4</t>
        </is>
      </c>
      <c r="R161" s="38">
        <f>IF(M161="","",LEFT(M161,LEN(M161)-1))</f>
        <v/>
      </c>
      <c r="S161" s="38">
        <f>IF(N161="","",LEFT(N161,LEN(N161)-1))</f>
        <v/>
      </c>
      <c r="T161" s="38">
        <f>IF(O161="","",LEFT(O161,LEN(O161)-1))</f>
        <v/>
      </c>
      <c r="U161" s="38">
        <f>IF(P161="","",LEFT(P161,LEN(P161)-1))</f>
        <v/>
      </c>
      <c r="V161" s="38">
        <f>IF(Q161="","",LEFT(Q161,LEN(Q161)-1))</f>
        <v/>
      </c>
      <c r="W161" s="38">
        <f>IF(M161="","",IFERROR(VALUE(RIGHT(M161,1)),""))</f>
        <v/>
      </c>
      <c r="X161" s="38">
        <f>IF(N161="","",IFERROR(VALUE(RIGHT(N161,1)),""))</f>
        <v/>
      </c>
      <c r="Y161" s="38">
        <f>IF(O161="","",IFERROR(VALUE(RIGHT(O161,1)),""))</f>
        <v/>
      </c>
      <c r="Z161" s="38">
        <f>IF(P161="","",IFERROR(VALUE(RIGHT(P161,1)),""))</f>
        <v/>
      </c>
      <c r="AA161" s="38">
        <f>IF(Q161="","",IFERROR(VALUE(RIGHT(Q161,1)),""))</f>
        <v/>
      </c>
      <c r="AB161" s="38">
        <f>IF(OR(M161="",W161=""),"",IFERROR(ROUND(440*2^((12*(W161+1)+IFERROR(MATCH(R161,{"C","C#","D","D#","E","F","F#","G","G#","A","A#","B"},0)-1,MATCH(R161,{"C","Db","D","Eb","E","F","Gb","G","Ab","A","Bb","B"},0)-1)-69)/12),2),""))</f>
        <v/>
      </c>
      <c r="AC161" s="38">
        <f>IF(OR(N161="",X161=""),"",IFERROR(ROUND(440*2^((12*(X161+1)+IFERROR(MATCH(S161,{"C","C#","D","D#","E","F","F#","G","G#","A","A#","B"},0)-1,MATCH(S161,{"C","Db","D","Eb","E","F","Gb","G","Ab","A","Bb","B"},0)-1)-69)/12),2),""))</f>
        <v/>
      </c>
      <c r="AD161" s="38">
        <f>IF(OR(O161="",Y161=""),"",IFERROR(ROUND(440*2^((12*(Y161+1)+IFERROR(MATCH(T161,{"C","C#","D","D#","E","F","F#","G","G#","A","A#","B"},0)-1,MATCH(T161,{"C","Db","D","Eb","E","F","Gb","G","Ab","A","Bb","B"},0)-1)-69)/12),2),""))</f>
        <v/>
      </c>
      <c r="AE161" s="38">
        <f>IF(OR(P161="",Z161=""),"",IFERROR(ROUND(440*2^((12*(Z161+1)+IFERROR(MATCH(U161,{"C","C#","D","D#","E","F","F#","G","G#","A","A#","B"},0)-1,MATCH(U161,{"C","Db","D","Eb","E","F","Gb","G","Ab","A","Bb","B"},0)-1)-69)/12),2),""))</f>
        <v/>
      </c>
      <c r="AF161" s="38">
        <f>IF(OR(Q161="",AA161=""),"",IFERROR(ROUND(440*2^((12*(AA161+1)+IFERROR(MATCH(V161,{"C","C#","D","D#","E","F","F#","G","G#","A","A#","B"},0)-1,MATCH(V161,{"C","Db","D","Eb","E","F","Gb","G","Ab","A","Bb","B"},0)-1)-69)/12),2),""))</f>
        <v/>
      </c>
      <c r="AG161" s="36" t="n"/>
      <c r="AH161" s="36" t="n"/>
      <c r="AI161" s="36" t="n"/>
      <c r="AJ161" s="36" t="inlineStr">
        <is>
          <t>Low</t>
        </is>
      </c>
      <c r="AK161" s="36" t="inlineStr">
        <is>
          <t>Low</t>
        </is>
      </c>
      <c r="AL161" s="35" t="n"/>
    </row>
    <row r="162">
      <c r="A162" s="35" t="inlineStr">
        <is>
          <t>TEST_016</t>
        </is>
      </c>
      <c r="B162" s="35" t="n">
        <v>10</v>
      </c>
      <c r="C162" s="36" t="n"/>
      <c r="D162" s="36" t="n"/>
      <c r="E162" s="36" t="n"/>
      <c r="F162" s="36" t="n">
        <v>17.03</v>
      </c>
      <c r="G162" s="36" t="n">
        <v>16</v>
      </c>
      <c r="H162" s="36" t="n"/>
      <c r="I162" s="36" t="n"/>
      <c r="J162" s="36" t="n"/>
      <c r="K162" s="36" t="n">
        <v>18.54</v>
      </c>
      <c r="L162" s="36" t="n">
        <v>16.13</v>
      </c>
      <c r="M162" s="36" t="n"/>
      <c r="N162" s="36" t="n"/>
      <c r="O162" s="36" t="n"/>
      <c r="P162" s="36" t="inlineStr">
        <is>
          <t>B4</t>
        </is>
      </c>
      <c r="Q162" s="36" t="inlineStr">
        <is>
          <t>G#3</t>
        </is>
      </c>
      <c r="R162" s="38">
        <f>IF(M162="","",LEFT(M162,LEN(M162)-1))</f>
        <v/>
      </c>
      <c r="S162" s="38">
        <f>IF(N162="","",LEFT(N162,LEN(N162)-1))</f>
        <v/>
      </c>
      <c r="T162" s="38">
        <f>IF(O162="","",LEFT(O162,LEN(O162)-1))</f>
        <v/>
      </c>
      <c r="U162" s="38">
        <f>IF(P162="","",LEFT(P162,LEN(P162)-1))</f>
        <v/>
      </c>
      <c r="V162" s="38">
        <f>IF(Q162="","",LEFT(Q162,LEN(Q162)-1))</f>
        <v/>
      </c>
      <c r="W162" s="38">
        <f>IF(M162="","",IFERROR(VALUE(RIGHT(M162,1)),""))</f>
        <v/>
      </c>
      <c r="X162" s="38">
        <f>IF(N162="","",IFERROR(VALUE(RIGHT(N162,1)),""))</f>
        <v/>
      </c>
      <c r="Y162" s="38">
        <f>IF(O162="","",IFERROR(VALUE(RIGHT(O162,1)),""))</f>
        <v/>
      </c>
      <c r="Z162" s="38">
        <f>IF(P162="","",IFERROR(VALUE(RIGHT(P162,1)),""))</f>
        <v/>
      </c>
      <c r="AA162" s="38">
        <f>IF(Q162="","",IFERROR(VALUE(RIGHT(Q162,1)),""))</f>
        <v/>
      </c>
      <c r="AB162" s="38">
        <f>IF(OR(M162="",W162=""),"",IFERROR(ROUND(440*2^((12*(W162+1)+IFERROR(MATCH(R162,{"C","C#","D","D#","E","F","F#","G","G#","A","A#","B"},0)-1,MATCH(R162,{"C","Db","D","Eb","E","F","Gb","G","Ab","A","Bb","B"},0)-1)-69)/12),2),""))</f>
        <v/>
      </c>
      <c r="AC162" s="38">
        <f>IF(OR(N162="",X162=""),"",IFERROR(ROUND(440*2^((12*(X162+1)+IFERROR(MATCH(S162,{"C","C#","D","D#","E","F","F#","G","G#","A","A#","B"},0)-1,MATCH(S162,{"C","Db","D","Eb","E","F","Gb","G","Ab","A","Bb","B"},0)-1)-69)/12),2),""))</f>
        <v/>
      </c>
      <c r="AD162" s="38">
        <f>IF(OR(O162="",Y162=""),"",IFERROR(ROUND(440*2^((12*(Y162+1)+IFERROR(MATCH(T162,{"C","C#","D","D#","E","F","F#","G","G#","A","A#","B"},0)-1,MATCH(T162,{"C","Db","D","Eb","E","F","Gb","G","Ab","A","Bb","B"},0)-1)-69)/12),2),""))</f>
        <v/>
      </c>
      <c r="AE162" s="38">
        <f>IF(OR(P162="",Z162=""),"",IFERROR(ROUND(440*2^((12*(Z162+1)+IFERROR(MATCH(U162,{"C","C#","D","D#","E","F","F#","G","G#","A","A#","B"},0)-1,MATCH(U162,{"C","Db","D","Eb","E","F","Gb","G","Ab","A","Bb","B"},0)-1)-69)/12),2),""))</f>
        <v/>
      </c>
      <c r="AF162" s="38">
        <f>IF(OR(Q162="",AA162=""),"",IFERROR(ROUND(440*2^((12*(AA162+1)+IFERROR(MATCH(V162,{"C","C#","D","D#","E","F","F#","G","G#","A","A#","B"},0)-1,MATCH(V162,{"C","Db","D","Eb","E","F","Gb","G","Ab","A","Bb","B"},0)-1)-69)/12),2),""))</f>
        <v/>
      </c>
      <c r="AG162" s="36" t="n"/>
      <c r="AH162" s="36" t="n"/>
      <c r="AI162" s="36" t="n"/>
      <c r="AJ162" s="36" t="inlineStr">
        <is>
          <t>Low</t>
        </is>
      </c>
      <c r="AK162" s="36" t="inlineStr">
        <is>
          <t>Low</t>
        </is>
      </c>
      <c r="AL162" s="35" t="n"/>
    </row>
    <row r="163">
      <c r="A163" s="35" t="inlineStr">
        <is>
          <t>TEST_017</t>
        </is>
      </c>
      <c r="B163" s="35" t="n">
        <v>1</v>
      </c>
      <c r="C163" s="36" t="n"/>
      <c r="D163" s="36" t="n"/>
      <c r="E163" s="36" t="n"/>
      <c r="F163" s="36" t="n">
        <v>12.76</v>
      </c>
      <c r="G163" s="36" t="n">
        <v>7.55</v>
      </c>
      <c r="H163" s="36" t="n"/>
      <c r="I163" s="36" t="n"/>
      <c r="J163" s="36" t="n"/>
      <c r="K163" s="36" t="n">
        <v>14.16</v>
      </c>
      <c r="L163" s="36" t="n">
        <v>7.96</v>
      </c>
      <c r="M163" s="36" t="n"/>
      <c r="N163" s="36" t="inlineStr">
        <is>
          <t>N/A</t>
        </is>
      </c>
      <c r="O163" s="36" t="inlineStr">
        <is>
          <t>N/A</t>
        </is>
      </c>
      <c r="P163" s="36" t="inlineStr">
        <is>
          <t>F#3</t>
        </is>
      </c>
      <c r="Q163" s="36" t="inlineStr">
        <is>
          <t>F#4</t>
        </is>
      </c>
      <c r="R163" s="38">
        <f>IF(M163="","",LEFT(M163,LEN(M163)-1))</f>
        <v/>
      </c>
      <c r="S163" s="38">
        <f>IF(N163="","",LEFT(N163,LEN(N163)-1))</f>
        <v/>
      </c>
      <c r="T163" s="38">
        <f>IF(O163="","",LEFT(O163,LEN(O163)-1))</f>
        <v/>
      </c>
      <c r="U163" s="38">
        <f>IF(P163="","",LEFT(P163,LEN(P163)-1))</f>
        <v/>
      </c>
      <c r="V163" s="38">
        <f>IF(Q163="","",LEFT(Q163,LEN(Q163)-1))</f>
        <v/>
      </c>
      <c r="W163" s="38">
        <f>IF(M163="","",IFERROR(VALUE(RIGHT(M163,1)),""))</f>
        <v/>
      </c>
      <c r="X163" s="38">
        <f>IF(N163="","",IFERROR(VALUE(RIGHT(N163,1)),""))</f>
        <v/>
      </c>
      <c r="Y163" s="38">
        <f>IF(O163="","",IFERROR(VALUE(RIGHT(O163,1)),""))</f>
        <v/>
      </c>
      <c r="Z163" s="38">
        <f>IF(P163="","",IFERROR(VALUE(RIGHT(P163,1)),""))</f>
        <v/>
      </c>
      <c r="AA163" s="38">
        <f>IF(Q163="","",IFERROR(VALUE(RIGHT(Q163,1)),""))</f>
        <v/>
      </c>
      <c r="AB163" s="38">
        <f>IF(OR(M163="",W163=""),"",IFERROR(ROUND(440*2^((12*(W163+1)+IFERROR(MATCH(R163,{"C","C#","D","D#","E","F","F#","G","G#","A","A#","B"},0)-1,MATCH(R163,{"C","Db","D","Eb","E","F","Gb","G","Ab","A","Bb","B"},0)-1)-69)/12),2),""))</f>
        <v/>
      </c>
      <c r="AC163" s="38">
        <f>IF(OR(N163="",X163=""),"",IFERROR(ROUND(440*2^((12*(X163+1)+IFERROR(MATCH(S163,{"C","C#","D","D#","E","F","F#","G","G#","A","A#","B"},0)-1,MATCH(S163,{"C","Db","D","Eb","E","F","Gb","G","Ab","A","Bb","B"},0)-1)-69)/12),2),""))</f>
        <v/>
      </c>
      <c r="AD163" s="38">
        <f>IF(OR(O163="",Y163=""),"",IFERROR(ROUND(440*2^((12*(Y163+1)+IFERROR(MATCH(T163,{"C","C#","D","D#","E","F","F#","G","G#","A","A#","B"},0)-1,MATCH(T163,{"C","Db","D","Eb","E","F","Gb","G","Ab","A","Bb","B"},0)-1)-69)/12),2),""))</f>
        <v/>
      </c>
      <c r="AE163" s="38">
        <f>IF(OR(P163="",Z163=""),"",IFERROR(ROUND(440*2^((12*(Z163+1)+IFERROR(MATCH(U163,{"C","C#","D","D#","E","F","F#","G","G#","A","A#","B"},0)-1,MATCH(U163,{"C","Db","D","Eb","E","F","Gb","G","Ab","A","Bb","B"},0)-1)-69)/12),2),""))</f>
        <v/>
      </c>
      <c r="AF163" s="38">
        <f>IF(OR(Q163="",AA163=""),"",IFERROR(ROUND(440*2^((12*(AA163+1)+IFERROR(MATCH(V163,{"C","C#","D","D#","E","F","F#","G","G#","A","A#","B"},0)-1,MATCH(V163,{"C","Db","D","Eb","E","F","Gb","G","Ab","A","Bb","B"},0)-1)-69)/12),2),""))</f>
        <v/>
      </c>
      <c r="AG163" s="36" t="n"/>
      <c r="AH163" s="36" t="n"/>
      <c r="AI163" s="36" t="n"/>
      <c r="AJ163" s="36" t="inlineStr">
        <is>
          <t>Low</t>
        </is>
      </c>
      <c r="AK163" s="36" t="inlineStr">
        <is>
          <t>Medium</t>
        </is>
      </c>
      <c r="AL16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64">
      <c r="A164" s="35" t="inlineStr">
        <is>
          <t>TEST_017</t>
        </is>
      </c>
      <c r="B164" s="35" t="n">
        <v>2</v>
      </c>
      <c r="C164" s="36" t="n"/>
      <c r="D164" s="36" t="n"/>
      <c r="E164" s="36" t="n"/>
      <c r="F164" s="36" t="n">
        <v>14.28</v>
      </c>
      <c r="G164" s="36" t="n">
        <v>8</v>
      </c>
      <c r="H164" s="36" t="n"/>
      <c r="I164" s="36" t="n"/>
      <c r="J164" s="36" t="n"/>
      <c r="K164" s="36" t="n">
        <v>14.65</v>
      </c>
      <c r="L164" s="36" t="n">
        <v>8.369999999999999</v>
      </c>
      <c r="M164" s="36" t="n"/>
      <c r="N164" s="36" t="n"/>
      <c r="O164" s="36" t="n"/>
      <c r="P164" s="36" t="inlineStr">
        <is>
          <t>F#3</t>
        </is>
      </c>
      <c r="Q164" s="36" t="inlineStr">
        <is>
          <t>A4</t>
        </is>
      </c>
      <c r="R164" s="38">
        <f>IF(M164="","",LEFT(M164,LEN(M164)-1))</f>
        <v/>
      </c>
      <c r="S164" s="38">
        <f>IF(N164="","",LEFT(N164,LEN(N164)-1))</f>
        <v/>
      </c>
      <c r="T164" s="38">
        <f>IF(O164="","",LEFT(O164,LEN(O164)-1))</f>
        <v/>
      </c>
      <c r="U164" s="38">
        <f>IF(P164="","",LEFT(P164,LEN(P164)-1))</f>
        <v/>
      </c>
      <c r="V164" s="38">
        <f>IF(Q164="","",LEFT(Q164,LEN(Q164)-1))</f>
        <v/>
      </c>
      <c r="W164" s="38">
        <f>IF(M164="","",IFERROR(VALUE(RIGHT(M164,1)),""))</f>
        <v/>
      </c>
      <c r="X164" s="38">
        <f>IF(N164="","",IFERROR(VALUE(RIGHT(N164,1)),""))</f>
        <v/>
      </c>
      <c r="Y164" s="38">
        <f>IF(O164="","",IFERROR(VALUE(RIGHT(O164,1)),""))</f>
        <v/>
      </c>
      <c r="Z164" s="38">
        <f>IF(P164="","",IFERROR(VALUE(RIGHT(P164,1)),""))</f>
        <v/>
      </c>
      <c r="AA164" s="38">
        <f>IF(Q164="","",IFERROR(VALUE(RIGHT(Q164,1)),""))</f>
        <v/>
      </c>
      <c r="AB164" s="38">
        <f>IF(OR(M164="",W164=""),"",IFERROR(ROUND(440*2^((12*(W164+1)+IFERROR(MATCH(R164,{"C","C#","D","D#","E","F","F#","G","G#","A","A#","B"},0)-1,MATCH(R164,{"C","Db","D","Eb","E","F","Gb","G","Ab","A","Bb","B"},0)-1)-69)/12),2),""))</f>
        <v/>
      </c>
      <c r="AC164" s="38">
        <f>IF(OR(N164="",X164=""),"",IFERROR(ROUND(440*2^((12*(X164+1)+IFERROR(MATCH(S164,{"C","C#","D","D#","E","F","F#","G","G#","A","A#","B"},0)-1,MATCH(S164,{"C","Db","D","Eb","E","F","Gb","G","Ab","A","Bb","B"},0)-1)-69)/12),2),""))</f>
        <v/>
      </c>
      <c r="AD164" s="38">
        <f>IF(OR(O164="",Y164=""),"",IFERROR(ROUND(440*2^((12*(Y164+1)+IFERROR(MATCH(T164,{"C","C#","D","D#","E","F","F#","G","G#","A","A#","B"},0)-1,MATCH(T164,{"C","Db","D","Eb","E","F","Gb","G","Ab","A","Bb","B"},0)-1)-69)/12),2),""))</f>
        <v/>
      </c>
      <c r="AE164" s="38">
        <f>IF(OR(P164="",Z164=""),"",IFERROR(ROUND(440*2^((12*(Z164+1)+IFERROR(MATCH(U164,{"C","C#","D","D#","E","F","F#","G","G#","A","A#","B"},0)-1,MATCH(U164,{"C","Db","D","Eb","E","F","Gb","G","Ab","A","Bb","B"},0)-1)-69)/12),2),""))</f>
        <v/>
      </c>
      <c r="AF164" s="38">
        <f>IF(OR(Q164="",AA164=""),"",IFERROR(ROUND(440*2^((12*(AA164+1)+IFERROR(MATCH(V164,{"C","C#","D","D#","E","F","F#","G","G#","A","A#","B"},0)-1,MATCH(V164,{"C","Db","D","Eb","E","F","Gb","G","Ab","A","Bb","B"},0)-1)-69)/12),2),""))</f>
        <v/>
      </c>
      <c r="AG164" s="36" t="n"/>
      <c r="AH164" s="36" t="n"/>
      <c r="AI164" s="36" t="n"/>
      <c r="AJ164" s="36" t="inlineStr">
        <is>
          <t>Low</t>
        </is>
      </c>
      <c r="AK164" s="36" t="inlineStr">
        <is>
          <t>High</t>
        </is>
      </c>
      <c r="AL164" s="35" t="n"/>
    </row>
    <row r="165">
      <c r="A165" s="35" t="inlineStr">
        <is>
          <t>TEST_017</t>
        </is>
      </c>
      <c r="B165" s="35" t="n">
        <v>3</v>
      </c>
      <c r="C165" s="36" t="n"/>
      <c r="D165" s="36" t="n"/>
      <c r="E165" s="36" t="n"/>
      <c r="F165" s="36" t="n">
        <v>15.96</v>
      </c>
      <c r="G165" s="36" t="n">
        <v>8.74</v>
      </c>
      <c r="H165" s="36" t="n"/>
      <c r="I165" s="36" t="n"/>
      <c r="J165" s="36" t="n"/>
      <c r="K165" s="36" t="n">
        <v>16.25</v>
      </c>
      <c r="L165" s="36" t="n">
        <v>9</v>
      </c>
      <c r="M165" s="36" t="n"/>
      <c r="N165" s="36" t="n"/>
      <c r="O165" s="36" t="n"/>
      <c r="P165" s="36" t="inlineStr">
        <is>
          <t>D4</t>
        </is>
      </c>
      <c r="Q165" s="36" t="inlineStr">
        <is>
          <t>G2</t>
        </is>
      </c>
      <c r="R165" s="38">
        <f>IF(M165="","",LEFT(M165,LEN(M165)-1))</f>
        <v/>
      </c>
      <c r="S165" s="38">
        <f>IF(N165="","",LEFT(N165,LEN(N165)-1))</f>
        <v/>
      </c>
      <c r="T165" s="38">
        <f>IF(O165="","",LEFT(O165,LEN(O165)-1))</f>
        <v/>
      </c>
      <c r="U165" s="38">
        <f>IF(P165="","",LEFT(P165,LEN(P165)-1))</f>
        <v/>
      </c>
      <c r="V165" s="38">
        <f>IF(Q165="","",LEFT(Q165,LEN(Q165)-1))</f>
        <v/>
      </c>
      <c r="W165" s="38">
        <f>IF(M165="","",IFERROR(VALUE(RIGHT(M165,1)),""))</f>
        <v/>
      </c>
      <c r="X165" s="38">
        <f>IF(N165="","",IFERROR(VALUE(RIGHT(N165,1)),""))</f>
        <v/>
      </c>
      <c r="Y165" s="38">
        <f>IF(O165="","",IFERROR(VALUE(RIGHT(O165,1)),""))</f>
        <v/>
      </c>
      <c r="Z165" s="38">
        <f>IF(P165="","",IFERROR(VALUE(RIGHT(P165,1)),""))</f>
        <v/>
      </c>
      <c r="AA165" s="38">
        <f>IF(Q165="","",IFERROR(VALUE(RIGHT(Q165,1)),""))</f>
        <v/>
      </c>
      <c r="AB165" s="38">
        <f>IF(OR(M165="",W165=""),"",IFERROR(ROUND(440*2^((12*(W165+1)+IFERROR(MATCH(R165,{"C","C#","D","D#","E","F","F#","G","G#","A","A#","B"},0)-1,MATCH(R165,{"C","Db","D","Eb","E","F","Gb","G","Ab","A","Bb","B"},0)-1)-69)/12),2),""))</f>
        <v/>
      </c>
      <c r="AC165" s="38">
        <f>IF(OR(N165="",X165=""),"",IFERROR(ROUND(440*2^((12*(X165+1)+IFERROR(MATCH(S165,{"C","C#","D","D#","E","F","F#","G","G#","A","A#","B"},0)-1,MATCH(S165,{"C","Db","D","Eb","E","F","Gb","G","Ab","A","Bb","B"},0)-1)-69)/12),2),""))</f>
        <v/>
      </c>
      <c r="AD165" s="38">
        <f>IF(OR(O165="",Y165=""),"",IFERROR(ROUND(440*2^((12*(Y165+1)+IFERROR(MATCH(T165,{"C","C#","D","D#","E","F","F#","G","G#","A","A#","B"},0)-1,MATCH(T165,{"C","Db","D","Eb","E","F","Gb","G","Ab","A","Bb","B"},0)-1)-69)/12),2),""))</f>
        <v/>
      </c>
      <c r="AE165" s="38">
        <f>IF(OR(P165="",Z165=""),"",IFERROR(ROUND(440*2^((12*(Z165+1)+IFERROR(MATCH(U165,{"C","C#","D","D#","E","F","F#","G","G#","A","A#","B"},0)-1,MATCH(U165,{"C","Db","D","Eb","E","F","Gb","G","Ab","A","Bb","B"},0)-1)-69)/12),2),""))</f>
        <v/>
      </c>
      <c r="AF165" s="38">
        <f>IF(OR(Q165="",AA165=""),"",IFERROR(ROUND(440*2^((12*(AA165+1)+IFERROR(MATCH(V165,{"C","C#","D","D#","E","F","F#","G","G#","A","A#","B"},0)-1,MATCH(V165,{"C","Db","D","Eb","E","F","Gb","G","Ab","A","Bb","B"},0)-1)-69)/12),2),""))</f>
        <v/>
      </c>
      <c r="AG165" s="36" t="n"/>
      <c r="AH165" s="36" t="n"/>
      <c r="AI165" s="36" t="n"/>
      <c r="AJ165" s="36" t="inlineStr">
        <is>
          <t>Low</t>
        </is>
      </c>
      <c r="AK165" s="36" t="inlineStr">
        <is>
          <t>Low</t>
        </is>
      </c>
      <c r="AL165" s="35" t="n"/>
    </row>
    <row r="166">
      <c r="A166" s="35" t="inlineStr">
        <is>
          <t>TEST_017</t>
        </is>
      </c>
      <c r="B166" s="35" t="n">
        <v>4</v>
      </c>
      <c r="C166" s="36" t="n"/>
      <c r="D166" s="36" t="n"/>
      <c r="E166" s="36" t="n"/>
      <c r="F166" s="36" t="n">
        <v>18.39</v>
      </c>
      <c r="G166" s="36" t="n">
        <v>10.59</v>
      </c>
      <c r="H166" s="36" t="n"/>
      <c r="I166" s="36" t="n"/>
      <c r="J166" s="36" t="n"/>
      <c r="K166" s="36" t="n">
        <v>19.01</v>
      </c>
      <c r="L166" s="36" t="n">
        <v>10.79</v>
      </c>
      <c r="M166" s="36" t="n"/>
      <c r="N166" s="36" t="n"/>
      <c r="O166" s="36" t="n"/>
      <c r="P166" s="36" t="inlineStr">
        <is>
          <t>D4</t>
        </is>
      </c>
      <c r="Q166" s="36" t="inlineStr">
        <is>
          <t>E4</t>
        </is>
      </c>
      <c r="R166" s="38">
        <f>IF(M166="","",LEFT(M166,LEN(M166)-1))</f>
        <v/>
      </c>
      <c r="S166" s="38">
        <f>IF(N166="","",LEFT(N166,LEN(N166)-1))</f>
        <v/>
      </c>
      <c r="T166" s="38">
        <f>IF(O166="","",LEFT(O166,LEN(O166)-1))</f>
        <v/>
      </c>
      <c r="U166" s="38">
        <f>IF(P166="","",LEFT(P166,LEN(P166)-1))</f>
        <v/>
      </c>
      <c r="V166" s="38">
        <f>IF(Q166="","",LEFT(Q166,LEN(Q166)-1))</f>
        <v/>
      </c>
      <c r="W166" s="38">
        <f>IF(M166="","",IFERROR(VALUE(RIGHT(M166,1)),""))</f>
        <v/>
      </c>
      <c r="X166" s="38">
        <f>IF(N166="","",IFERROR(VALUE(RIGHT(N166,1)),""))</f>
        <v/>
      </c>
      <c r="Y166" s="38">
        <f>IF(O166="","",IFERROR(VALUE(RIGHT(O166,1)),""))</f>
        <v/>
      </c>
      <c r="Z166" s="38">
        <f>IF(P166="","",IFERROR(VALUE(RIGHT(P166,1)),""))</f>
        <v/>
      </c>
      <c r="AA166" s="38">
        <f>IF(Q166="","",IFERROR(VALUE(RIGHT(Q166,1)),""))</f>
        <v/>
      </c>
      <c r="AB166" s="38">
        <f>IF(OR(M166="",W166=""),"",IFERROR(ROUND(440*2^((12*(W166+1)+IFERROR(MATCH(R166,{"C","C#","D","D#","E","F","F#","G","G#","A","A#","B"},0)-1,MATCH(R166,{"C","Db","D","Eb","E","F","Gb","G","Ab","A","Bb","B"},0)-1)-69)/12),2),""))</f>
        <v/>
      </c>
      <c r="AC166" s="38">
        <f>IF(OR(N166="",X166=""),"",IFERROR(ROUND(440*2^((12*(X166+1)+IFERROR(MATCH(S166,{"C","C#","D","D#","E","F","F#","G","G#","A","A#","B"},0)-1,MATCH(S166,{"C","Db","D","Eb","E","F","Gb","G","Ab","A","Bb","B"},0)-1)-69)/12),2),""))</f>
        <v/>
      </c>
      <c r="AD166" s="38">
        <f>IF(OR(O166="",Y166=""),"",IFERROR(ROUND(440*2^((12*(Y166+1)+IFERROR(MATCH(T166,{"C","C#","D","D#","E","F","F#","G","G#","A","A#","B"},0)-1,MATCH(T166,{"C","Db","D","Eb","E","F","Gb","G","Ab","A","Bb","B"},0)-1)-69)/12),2),""))</f>
        <v/>
      </c>
      <c r="AE166" s="38">
        <f>IF(OR(P166="",Z166=""),"",IFERROR(ROUND(440*2^((12*(Z166+1)+IFERROR(MATCH(U166,{"C","C#","D","D#","E","F","F#","G","G#","A","A#","B"},0)-1,MATCH(U166,{"C","Db","D","Eb","E","F","Gb","G","Ab","A","Bb","B"},0)-1)-69)/12),2),""))</f>
        <v/>
      </c>
      <c r="AF166" s="38">
        <f>IF(OR(Q166="",AA166=""),"",IFERROR(ROUND(440*2^((12*(AA166+1)+IFERROR(MATCH(V166,{"C","C#","D","D#","E","F","F#","G","G#","A","A#","B"},0)-1,MATCH(V166,{"C","Db","D","Eb","E","F","Gb","G","Ab","A","Bb","B"},0)-1)-69)/12),2),""))</f>
        <v/>
      </c>
      <c r="AG166" s="36" t="n"/>
      <c r="AH166" s="36" t="n"/>
      <c r="AI166" s="36" t="n"/>
      <c r="AJ166" s="36" t="inlineStr">
        <is>
          <t>Low</t>
        </is>
      </c>
      <c r="AK166" s="36" t="inlineStr">
        <is>
          <t>Low</t>
        </is>
      </c>
      <c r="AL166" s="35" t="n"/>
    </row>
    <row r="167">
      <c r="A167" s="35" t="inlineStr">
        <is>
          <t>TEST_017</t>
        </is>
      </c>
      <c r="B167" s="35" t="n">
        <v>5</v>
      </c>
      <c r="C167" s="36" t="n"/>
      <c r="D167" s="36" t="n"/>
      <c r="E167" s="36" t="n"/>
      <c r="F167" s="36" t="n">
        <v>20.27</v>
      </c>
      <c r="G167" s="36" t="n">
        <v>11.52</v>
      </c>
      <c r="H167" s="36" t="n"/>
      <c r="I167" s="36" t="n"/>
      <c r="J167" s="36" t="n"/>
      <c r="K167" s="36" t="n">
        <v>20.6</v>
      </c>
      <c r="L167" s="36" t="n">
        <v>11.9</v>
      </c>
      <c r="M167" s="36" t="n"/>
      <c r="N167" s="36" t="n"/>
      <c r="O167" s="36" t="n"/>
      <c r="P167" s="36" t="inlineStr">
        <is>
          <t>F#3</t>
        </is>
      </c>
      <c r="Q167" s="36" t="inlineStr">
        <is>
          <t>F#2</t>
        </is>
      </c>
      <c r="R167" s="38">
        <f>IF(M167="","",LEFT(M167,LEN(M167)-1))</f>
        <v/>
      </c>
      <c r="S167" s="38">
        <f>IF(N167="","",LEFT(N167,LEN(N167)-1))</f>
        <v/>
      </c>
      <c r="T167" s="38">
        <f>IF(O167="","",LEFT(O167,LEN(O167)-1))</f>
        <v/>
      </c>
      <c r="U167" s="38">
        <f>IF(P167="","",LEFT(P167,LEN(P167)-1))</f>
        <v/>
      </c>
      <c r="V167" s="38">
        <f>IF(Q167="","",LEFT(Q167,LEN(Q167)-1))</f>
        <v/>
      </c>
      <c r="W167" s="38">
        <f>IF(M167="","",IFERROR(VALUE(RIGHT(M167,1)),""))</f>
        <v/>
      </c>
      <c r="X167" s="38">
        <f>IF(N167="","",IFERROR(VALUE(RIGHT(N167,1)),""))</f>
        <v/>
      </c>
      <c r="Y167" s="38">
        <f>IF(O167="","",IFERROR(VALUE(RIGHT(O167,1)),""))</f>
        <v/>
      </c>
      <c r="Z167" s="38">
        <f>IF(P167="","",IFERROR(VALUE(RIGHT(P167,1)),""))</f>
        <v/>
      </c>
      <c r="AA167" s="38">
        <f>IF(Q167="","",IFERROR(VALUE(RIGHT(Q167,1)),""))</f>
        <v/>
      </c>
      <c r="AB167" s="38">
        <f>IF(OR(M167="",W167=""),"",IFERROR(ROUND(440*2^((12*(W167+1)+IFERROR(MATCH(R167,{"C","C#","D","D#","E","F","F#","G","G#","A","A#","B"},0)-1,MATCH(R167,{"C","Db","D","Eb","E","F","Gb","G","Ab","A","Bb","B"},0)-1)-69)/12),2),""))</f>
        <v/>
      </c>
      <c r="AC167" s="38">
        <f>IF(OR(N167="",X167=""),"",IFERROR(ROUND(440*2^((12*(X167+1)+IFERROR(MATCH(S167,{"C","C#","D","D#","E","F","F#","G","G#","A","A#","B"},0)-1,MATCH(S167,{"C","Db","D","Eb","E","F","Gb","G","Ab","A","Bb","B"},0)-1)-69)/12),2),""))</f>
        <v/>
      </c>
      <c r="AD167" s="38">
        <f>IF(OR(O167="",Y167=""),"",IFERROR(ROUND(440*2^((12*(Y167+1)+IFERROR(MATCH(T167,{"C","C#","D","D#","E","F","F#","G","G#","A","A#","B"},0)-1,MATCH(T167,{"C","Db","D","Eb","E","F","Gb","G","Ab","A","Bb","B"},0)-1)-69)/12),2),""))</f>
        <v/>
      </c>
      <c r="AE167" s="38">
        <f>IF(OR(P167="",Z167=""),"",IFERROR(ROUND(440*2^((12*(Z167+1)+IFERROR(MATCH(U167,{"C","C#","D","D#","E","F","F#","G","G#","A","A#","B"},0)-1,MATCH(U167,{"C","Db","D","Eb","E","F","Gb","G","Ab","A","Bb","B"},0)-1)-69)/12),2),""))</f>
        <v/>
      </c>
      <c r="AF167" s="38">
        <f>IF(OR(Q167="",AA167=""),"",IFERROR(ROUND(440*2^((12*(AA167+1)+IFERROR(MATCH(V167,{"C","C#","D","D#","E","F","F#","G","G#","A","A#","B"},0)-1,MATCH(V167,{"C","Db","D","Eb","E","F","Gb","G","Ab","A","Bb","B"},0)-1)-69)/12),2),""))</f>
        <v/>
      </c>
      <c r="AG167" s="36" t="n"/>
      <c r="AH167" s="36" t="n"/>
      <c r="AI167" s="36" t="n"/>
      <c r="AJ167" s="36" t="inlineStr">
        <is>
          <t>Low</t>
        </is>
      </c>
      <c r="AK167" s="36" t="inlineStr">
        <is>
          <t>Low</t>
        </is>
      </c>
      <c r="AL167" s="35" t="n"/>
    </row>
    <row r="168">
      <c r="A168" s="35" t="inlineStr">
        <is>
          <t>TEST_017</t>
        </is>
      </c>
      <c r="B168" s="35" t="n">
        <v>6</v>
      </c>
      <c r="C168" s="36" t="n"/>
      <c r="D168" s="36" t="n"/>
      <c r="E168" s="36" t="n"/>
      <c r="F168" s="36" t="n">
        <v>20.95</v>
      </c>
      <c r="G168" s="36" t="n">
        <v>13.49</v>
      </c>
      <c r="H168" s="36" t="n"/>
      <c r="I168" s="36" t="n"/>
      <c r="J168" s="36" t="n"/>
      <c r="K168" s="36" t="n">
        <v>21.19</v>
      </c>
      <c r="L168" s="36" t="n">
        <v>13.7</v>
      </c>
      <c r="M168" s="36" t="n"/>
      <c r="N168" s="36" t="n"/>
      <c r="O168" s="36" t="n"/>
      <c r="P168" s="36" t="inlineStr">
        <is>
          <t>F#3</t>
        </is>
      </c>
      <c r="Q168" s="36" t="inlineStr">
        <is>
          <t>F#2</t>
        </is>
      </c>
      <c r="R168" s="38">
        <f>IF(M168="","",LEFT(M168,LEN(M168)-1))</f>
        <v/>
      </c>
      <c r="S168" s="38">
        <f>IF(N168="","",LEFT(N168,LEN(N168)-1))</f>
        <v/>
      </c>
      <c r="T168" s="38">
        <f>IF(O168="","",LEFT(O168,LEN(O168)-1))</f>
        <v/>
      </c>
      <c r="U168" s="38">
        <f>IF(P168="","",LEFT(P168,LEN(P168)-1))</f>
        <v/>
      </c>
      <c r="V168" s="38">
        <f>IF(Q168="","",LEFT(Q168,LEN(Q168)-1))</f>
        <v/>
      </c>
      <c r="W168" s="38">
        <f>IF(M168="","",IFERROR(VALUE(RIGHT(M168,1)),""))</f>
        <v/>
      </c>
      <c r="X168" s="38">
        <f>IF(N168="","",IFERROR(VALUE(RIGHT(N168,1)),""))</f>
        <v/>
      </c>
      <c r="Y168" s="38">
        <f>IF(O168="","",IFERROR(VALUE(RIGHT(O168,1)),""))</f>
        <v/>
      </c>
      <c r="Z168" s="38">
        <f>IF(P168="","",IFERROR(VALUE(RIGHT(P168,1)),""))</f>
        <v/>
      </c>
      <c r="AA168" s="38">
        <f>IF(Q168="","",IFERROR(VALUE(RIGHT(Q168,1)),""))</f>
        <v/>
      </c>
      <c r="AB168" s="38">
        <f>IF(OR(M168="",W168=""),"",IFERROR(ROUND(440*2^((12*(W168+1)+IFERROR(MATCH(R168,{"C","C#","D","D#","E","F","F#","G","G#","A","A#","B"},0)-1,MATCH(R168,{"C","Db","D","Eb","E","F","Gb","G","Ab","A","Bb","B"},0)-1)-69)/12),2),""))</f>
        <v/>
      </c>
      <c r="AC168" s="38">
        <f>IF(OR(N168="",X168=""),"",IFERROR(ROUND(440*2^((12*(X168+1)+IFERROR(MATCH(S168,{"C","C#","D","D#","E","F","F#","G","G#","A","A#","B"},0)-1,MATCH(S168,{"C","Db","D","Eb","E","F","Gb","G","Ab","A","Bb","B"},0)-1)-69)/12),2),""))</f>
        <v/>
      </c>
      <c r="AD168" s="38">
        <f>IF(OR(O168="",Y168=""),"",IFERROR(ROUND(440*2^((12*(Y168+1)+IFERROR(MATCH(T168,{"C","C#","D","D#","E","F","F#","G","G#","A","A#","B"},0)-1,MATCH(T168,{"C","Db","D","Eb","E","F","Gb","G","Ab","A","Bb","B"},0)-1)-69)/12),2),""))</f>
        <v/>
      </c>
      <c r="AE168" s="38">
        <f>IF(OR(P168="",Z168=""),"",IFERROR(ROUND(440*2^((12*(Z168+1)+IFERROR(MATCH(U168,{"C","C#","D","D#","E","F","F#","G","G#","A","A#","B"},0)-1,MATCH(U168,{"C","Db","D","Eb","E","F","Gb","G","Ab","A","Bb","B"},0)-1)-69)/12),2),""))</f>
        <v/>
      </c>
      <c r="AF168" s="38">
        <f>IF(OR(Q168="",AA168=""),"",IFERROR(ROUND(440*2^((12*(AA168+1)+IFERROR(MATCH(V168,{"C","C#","D","D#","E","F","F#","G","G#","A","A#","B"},0)-1,MATCH(V168,{"C","Db","D","Eb","E","F","Gb","G","Ab","A","Bb","B"},0)-1)-69)/12),2),""))</f>
        <v/>
      </c>
      <c r="AG168" s="36" t="n"/>
      <c r="AH168" s="36" t="n"/>
      <c r="AI168" s="36" t="n"/>
      <c r="AJ168" s="36" t="inlineStr">
        <is>
          <t>Low</t>
        </is>
      </c>
      <c r="AK168" s="36" t="inlineStr">
        <is>
          <t>Low</t>
        </is>
      </c>
      <c r="AL168" s="35" t="n"/>
    </row>
    <row r="169">
      <c r="A169" s="35" t="inlineStr">
        <is>
          <t>TEST_017</t>
        </is>
      </c>
      <c r="B169" s="35" t="n">
        <v>7</v>
      </c>
      <c r="C169" s="36" t="n"/>
      <c r="D169" s="36" t="n"/>
      <c r="E169" s="36" t="n"/>
      <c r="F169" s="36" t="n">
        <v>21.19</v>
      </c>
      <c r="G169" s="36" t="n">
        <v>15.21</v>
      </c>
      <c r="H169" s="36" t="n"/>
      <c r="I169" s="36" t="n"/>
      <c r="J169" s="36" t="n"/>
      <c r="K169" s="36" t="n">
        <v>22.06</v>
      </c>
      <c r="L169" s="36" t="n">
        <v>15.74</v>
      </c>
      <c r="M169" s="36" t="n"/>
      <c r="N169" s="36" t="n"/>
      <c r="O169" s="36" t="n"/>
      <c r="P169" s="36" t="inlineStr">
        <is>
          <t>F#3</t>
        </is>
      </c>
      <c r="Q169" s="36" t="inlineStr">
        <is>
          <t>E2</t>
        </is>
      </c>
      <c r="R169" s="38">
        <f>IF(M169="","",LEFT(M169,LEN(M169)-1))</f>
        <v/>
      </c>
      <c r="S169" s="38">
        <f>IF(N169="","",LEFT(N169,LEN(N169)-1))</f>
        <v/>
      </c>
      <c r="T169" s="38">
        <f>IF(O169="","",LEFT(O169,LEN(O169)-1))</f>
        <v/>
      </c>
      <c r="U169" s="38">
        <f>IF(P169="","",LEFT(P169,LEN(P169)-1))</f>
        <v/>
      </c>
      <c r="V169" s="38">
        <f>IF(Q169="","",LEFT(Q169,LEN(Q169)-1))</f>
        <v/>
      </c>
      <c r="W169" s="38">
        <f>IF(M169="","",IFERROR(VALUE(RIGHT(M169,1)),""))</f>
        <v/>
      </c>
      <c r="X169" s="38">
        <f>IF(N169="","",IFERROR(VALUE(RIGHT(N169,1)),""))</f>
        <v/>
      </c>
      <c r="Y169" s="38">
        <f>IF(O169="","",IFERROR(VALUE(RIGHT(O169,1)),""))</f>
        <v/>
      </c>
      <c r="Z169" s="38">
        <f>IF(P169="","",IFERROR(VALUE(RIGHT(P169,1)),""))</f>
        <v/>
      </c>
      <c r="AA169" s="38">
        <f>IF(Q169="","",IFERROR(VALUE(RIGHT(Q169,1)),""))</f>
        <v/>
      </c>
      <c r="AB169" s="38">
        <f>IF(OR(M169="",W169=""),"",IFERROR(ROUND(440*2^((12*(W169+1)+IFERROR(MATCH(R169,{"C","C#","D","D#","E","F","F#","G","G#","A","A#","B"},0)-1,MATCH(R169,{"C","Db","D","Eb","E","F","Gb","G","Ab","A","Bb","B"},0)-1)-69)/12),2),""))</f>
        <v/>
      </c>
      <c r="AC169" s="38">
        <f>IF(OR(N169="",X169=""),"",IFERROR(ROUND(440*2^((12*(X169+1)+IFERROR(MATCH(S169,{"C","C#","D","D#","E","F","F#","G","G#","A","A#","B"},0)-1,MATCH(S169,{"C","Db","D","Eb","E","F","Gb","G","Ab","A","Bb","B"},0)-1)-69)/12),2),""))</f>
        <v/>
      </c>
      <c r="AD169" s="38">
        <f>IF(OR(O169="",Y169=""),"",IFERROR(ROUND(440*2^((12*(Y169+1)+IFERROR(MATCH(T169,{"C","C#","D","D#","E","F","F#","G","G#","A","A#","B"},0)-1,MATCH(T169,{"C","Db","D","Eb","E","F","Gb","G","Ab","A","Bb","B"},0)-1)-69)/12),2),""))</f>
        <v/>
      </c>
      <c r="AE169" s="38">
        <f>IF(OR(P169="",Z169=""),"",IFERROR(ROUND(440*2^((12*(Z169+1)+IFERROR(MATCH(U169,{"C","C#","D","D#","E","F","F#","G","G#","A","A#","B"},0)-1,MATCH(U169,{"C","Db","D","Eb","E","F","Gb","G","Ab","A","Bb","B"},0)-1)-69)/12),2),""))</f>
        <v/>
      </c>
      <c r="AF169" s="38">
        <f>IF(OR(Q169="",AA169=""),"",IFERROR(ROUND(440*2^((12*(AA169+1)+IFERROR(MATCH(V169,{"C","C#","D","D#","E","F","F#","G","G#","A","A#","B"},0)-1,MATCH(V169,{"C","Db","D","Eb","E","F","Gb","G","Ab","A","Bb","B"},0)-1)-69)/12),2),""))</f>
        <v/>
      </c>
      <c r="AG169" s="36" t="n"/>
      <c r="AH169" s="36" t="n"/>
      <c r="AI169" s="36" t="n"/>
      <c r="AJ169" s="36" t="inlineStr">
        <is>
          <t>Low</t>
        </is>
      </c>
      <c r="AK169" s="36" t="inlineStr">
        <is>
          <t>Low</t>
        </is>
      </c>
      <c r="AL169" s="35" t="n"/>
    </row>
    <row r="170">
      <c r="A170" s="35" t="inlineStr">
        <is>
          <t>TEST_017</t>
        </is>
      </c>
      <c r="B170" s="35" t="n">
        <v>8</v>
      </c>
      <c r="C170" s="36" t="n"/>
      <c r="D170" s="36" t="n"/>
      <c r="E170" s="36" t="n"/>
      <c r="F170" s="36" t="n">
        <v>30.65</v>
      </c>
      <c r="G170" s="36" t="n">
        <v>15.96</v>
      </c>
      <c r="H170" s="36" t="n"/>
      <c r="I170" s="36" t="n"/>
      <c r="J170" s="36" t="n"/>
      <c r="K170" s="36" t="n">
        <v>30.86</v>
      </c>
      <c r="L170" s="36" t="n">
        <v>16.13</v>
      </c>
      <c r="M170" s="36" t="n"/>
      <c r="N170" s="36" t="n"/>
      <c r="O170" s="36" t="n"/>
      <c r="P170" s="36" t="inlineStr">
        <is>
          <t>C#4</t>
        </is>
      </c>
      <c r="Q170" s="36" t="inlineStr">
        <is>
          <t>G2</t>
        </is>
      </c>
      <c r="R170" s="38">
        <f>IF(M170="","",LEFT(M170,LEN(M170)-1))</f>
        <v/>
      </c>
      <c r="S170" s="38">
        <f>IF(N170="","",LEFT(N170,LEN(N170)-1))</f>
        <v/>
      </c>
      <c r="T170" s="38">
        <f>IF(O170="","",LEFT(O170,LEN(O170)-1))</f>
        <v/>
      </c>
      <c r="U170" s="38">
        <f>IF(P170="","",LEFT(P170,LEN(P170)-1))</f>
        <v/>
      </c>
      <c r="V170" s="38">
        <f>IF(Q170="","",LEFT(Q170,LEN(Q170)-1))</f>
        <v/>
      </c>
      <c r="W170" s="38">
        <f>IF(M170="","",IFERROR(VALUE(RIGHT(M170,1)),""))</f>
        <v/>
      </c>
      <c r="X170" s="38">
        <f>IF(N170="","",IFERROR(VALUE(RIGHT(N170,1)),""))</f>
        <v/>
      </c>
      <c r="Y170" s="38">
        <f>IF(O170="","",IFERROR(VALUE(RIGHT(O170,1)),""))</f>
        <v/>
      </c>
      <c r="Z170" s="38">
        <f>IF(P170="","",IFERROR(VALUE(RIGHT(P170,1)),""))</f>
        <v/>
      </c>
      <c r="AA170" s="38">
        <f>IF(Q170="","",IFERROR(VALUE(RIGHT(Q170,1)),""))</f>
        <v/>
      </c>
      <c r="AB170" s="38">
        <f>IF(OR(M170="",W170=""),"",IFERROR(ROUND(440*2^((12*(W170+1)+IFERROR(MATCH(R170,{"C","C#","D","D#","E","F","F#","G","G#","A","A#","B"},0)-1,MATCH(R170,{"C","Db","D","Eb","E","F","Gb","G","Ab","A","Bb","B"},0)-1)-69)/12),2),""))</f>
        <v/>
      </c>
      <c r="AC170" s="38">
        <f>IF(OR(N170="",X170=""),"",IFERROR(ROUND(440*2^((12*(X170+1)+IFERROR(MATCH(S170,{"C","C#","D","D#","E","F","F#","G","G#","A","A#","B"},0)-1,MATCH(S170,{"C","Db","D","Eb","E","F","Gb","G","Ab","A","Bb","B"},0)-1)-69)/12),2),""))</f>
        <v/>
      </c>
      <c r="AD170" s="38">
        <f>IF(OR(O170="",Y170=""),"",IFERROR(ROUND(440*2^((12*(Y170+1)+IFERROR(MATCH(T170,{"C","C#","D","D#","E","F","F#","G","G#","A","A#","B"},0)-1,MATCH(T170,{"C","Db","D","Eb","E","F","Gb","G","Ab","A","Bb","B"},0)-1)-69)/12),2),""))</f>
        <v/>
      </c>
      <c r="AE170" s="38">
        <f>IF(OR(P170="",Z170=""),"",IFERROR(ROUND(440*2^((12*(Z170+1)+IFERROR(MATCH(U170,{"C","C#","D","D#","E","F","F#","G","G#","A","A#","B"},0)-1,MATCH(U170,{"C","Db","D","Eb","E","F","Gb","G","Ab","A","Bb","B"},0)-1)-69)/12),2),""))</f>
        <v/>
      </c>
      <c r="AF170" s="38">
        <f>IF(OR(Q170="",AA170=""),"",IFERROR(ROUND(440*2^((12*(AA170+1)+IFERROR(MATCH(V170,{"C","C#","D","D#","E","F","F#","G","G#","A","A#","B"},0)-1,MATCH(V170,{"C","Db","D","Eb","E","F","Gb","G","Ab","A","Bb","B"},0)-1)-69)/12),2),""))</f>
        <v/>
      </c>
      <c r="AG170" s="36" t="n"/>
      <c r="AH170" s="36" t="n"/>
      <c r="AI170" s="36" t="n"/>
      <c r="AJ170" s="36" t="inlineStr">
        <is>
          <t>Low</t>
        </is>
      </c>
      <c r="AK170" s="36" t="inlineStr">
        <is>
          <t>Low</t>
        </is>
      </c>
      <c r="AL170" s="35" t="n"/>
    </row>
    <row r="171">
      <c r="A171" s="35" t="inlineStr">
        <is>
          <t>TEST_017</t>
        </is>
      </c>
      <c r="B171" s="35" t="n">
        <v>9</v>
      </c>
      <c r="C171" s="36" t="n"/>
      <c r="D171" s="36" t="n"/>
      <c r="E171" s="36" t="n"/>
      <c r="F171" s="36" t="n">
        <v>30.87</v>
      </c>
      <c r="G171" s="36" t="n">
        <v>18.66</v>
      </c>
      <c r="H171" s="36" t="n"/>
      <c r="I171" s="36" t="n"/>
      <c r="J171" s="36" t="n"/>
      <c r="K171" s="36" t="n">
        <v>31</v>
      </c>
      <c r="L171" s="36" t="n">
        <v>18.89</v>
      </c>
      <c r="M171" s="36" t="n"/>
      <c r="N171" s="36" t="n"/>
      <c r="O171" s="36" t="n"/>
      <c r="P171" s="36" t="inlineStr">
        <is>
          <t>C#4</t>
        </is>
      </c>
      <c r="Q171" s="36" t="inlineStr">
        <is>
          <t>D3</t>
        </is>
      </c>
      <c r="R171" s="38">
        <f>IF(M171="","",LEFT(M171,LEN(M171)-1))</f>
        <v/>
      </c>
      <c r="S171" s="38">
        <f>IF(N171="","",LEFT(N171,LEN(N171)-1))</f>
        <v/>
      </c>
      <c r="T171" s="38">
        <f>IF(O171="","",LEFT(O171,LEN(O171)-1))</f>
        <v/>
      </c>
      <c r="U171" s="38">
        <f>IF(P171="","",LEFT(P171,LEN(P171)-1))</f>
        <v/>
      </c>
      <c r="V171" s="38">
        <f>IF(Q171="","",LEFT(Q171,LEN(Q171)-1))</f>
        <v/>
      </c>
      <c r="W171" s="38">
        <f>IF(M171="","",IFERROR(VALUE(RIGHT(M171,1)),""))</f>
        <v/>
      </c>
      <c r="X171" s="38">
        <f>IF(N171="","",IFERROR(VALUE(RIGHT(N171,1)),""))</f>
        <v/>
      </c>
      <c r="Y171" s="38">
        <f>IF(O171="","",IFERROR(VALUE(RIGHT(O171,1)),""))</f>
        <v/>
      </c>
      <c r="Z171" s="38">
        <f>IF(P171="","",IFERROR(VALUE(RIGHT(P171,1)),""))</f>
        <v/>
      </c>
      <c r="AA171" s="38">
        <f>IF(Q171="","",IFERROR(VALUE(RIGHT(Q171,1)),""))</f>
        <v/>
      </c>
      <c r="AB171" s="38">
        <f>IF(OR(M171="",W171=""),"",IFERROR(ROUND(440*2^((12*(W171+1)+IFERROR(MATCH(R171,{"C","C#","D","D#","E","F","F#","G","G#","A","A#","B"},0)-1,MATCH(R171,{"C","Db","D","Eb","E","F","Gb","G","Ab","A","Bb","B"},0)-1)-69)/12),2),""))</f>
        <v/>
      </c>
      <c r="AC171" s="38">
        <f>IF(OR(N171="",X171=""),"",IFERROR(ROUND(440*2^((12*(X171+1)+IFERROR(MATCH(S171,{"C","C#","D","D#","E","F","F#","G","G#","A","A#","B"},0)-1,MATCH(S171,{"C","Db","D","Eb","E","F","Gb","G","Ab","A","Bb","B"},0)-1)-69)/12),2),""))</f>
        <v/>
      </c>
      <c r="AD171" s="38">
        <f>IF(OR(O171="",Y171=""),"",IFERROR(ROUND(440*2^((12*(Y171+1)+IFERROR(MATCH(T171,{"C","C#","D","D#","E","F","F#","G","G#","A","A#","B"},0)-1,MATCH(T171,{"C","Db","D","Eb","E","F","Gb","G","Ab","A","Bb","B"},0)-1)-69)/12),2),""))</f>
        <v/>
      </c>
      <c r="AE171" s="38">
        <f>IF(OR(P171="",Z171=""),"",IFERROR(ROUND(440*2^((12*(Z171+1)+IFERROR(MATCH(U171,{"C","C#","D","D#","E","F","F#","G","G#","A","A#","B"},0)-1,MATCH(U171,{"C","Db","D","Eb","E","F","Gb","G","Ab","A","Bb","B"},0)-1)-69)/12),2),""))</f>
        <v/>
      </c>
      <c r="AF171" s="38">
        <f>IF(OR(Q171="",AA171=""),"",IFERROR(ROUND(440*2^((12*(AA171+1)+IFERROR(MATCH(V171,{"C","C#","D","D#","E","F","F#","G","G#","A","A#","B"},0)-1,MATCH(V171,{"C","Db","D","Eb","E","F","Gb","G","Ab","A","Bb","B"},0)-1)-69)/12),2),""))</f>
        <v/>
      </c>
      <c r="AG171" s="36" t="n"/>
      <c r="AH171" s="36" t="n"/>
      <c r="AI171" s="36" t="n"/>
      <c r="AJ171" s="36" t="inlineStr">
        <is>
          <t>Low</t>
        </is>
      </c>
      <c r="AK171" s="36" t="inlineStr">
        <is>
          <t>Low</t>
        </is>
      </c>
      <c r="AL171" s="35" t="n"/>
    </row>
    <row r="172">
      <c r="A172" s="35" t="inlineStr">
        <is>
          <t>TEST_017</t>
        </is>
      </c>
      <c r="B172" s="35" t="n">
        <v>10</v>
      </c>
      <c r="C172" s="36" t="n"/>
      <c r="D172" s="36" t="n"/>
      <c r="E172" s="36" t="n"/>
      <c r="F172" s="36" t="n">
        <v>31</v>
      </c>
      <c r="G172" s="36" t="n">
        <v>20.4</v>
      </c>
      <c r="H172" s="36" t="n"/>
      <c r="I172" s="36" t="n"/>
      <c r="J172" s="36" t="n"/>
      <c r="K172" s="36" t="n">
        <v>31.28</v>
      </c>
      <c r="L172" s="36" t="n">
        <v>20.61</v>
      </c>
      <c r="M172" s="36" t="n"/>
      <c r="N172" s="36" t="n"/>
      <c r="O172" s="36" t="n"/>
      <c r="P172" s="36" t="inlineStr">
        <is>
          <t>C#4</t>
        </is>
      </c>
      <c r="Q172" s="36" t="inlineStr">
        <is>
          <t>F#3</t>
        </is>
      </c>
      <c r="R172" s="38">
        <f>IF(M172="","",LEFT(M172,LEN(M172)-1))</f>
        <v/>
      </c>
      <c r="S172" s="38">
        <f>IF(N172="","",LEFT(N172,LEN(N172)-1))</f>
        <v/>
      </c>
      <c r="T172" s="38">
        <f>IF(O172="","",LEFT(O172,LEN(O172)-1))</f>
        <v/>
      </c>
      <c r="U172" s="38">
        <f>IF(P172="","",LEFT(P172,LEN(P172)-1))</f>
        <v/>
      </c>
      <c r="V172" s="38">
        <f>IF(Q172="","",LEFT(Q172,LEN(Q172)-1))</f>
        <v/>
      </c>
      <c r="W172" s="38">
        <f>IF(M172="","",IFERROR(VALUE(RIGHT(M172,1)),""))</f>
        <v/>
      </c>
      <c r="X172" s="38">
        <f>IF(N172="","",IFERROR(VALUE(RIGHT(N172,1)),""))</f>
        <v/>
      </c>
      <c r="Y172" s="38">
        <f>IF(O172="","",IFERROR(VALUE(RIGHT(O172,1)),""))</f>
        <v/>
      </c>
      <c r="Z172" s="38">
        <f>IF(P172="","",IFERROR(VALUE(RIGHT(P172,1)),""))</f>
        <v/>
      </c>
      <c r="AA172" s="38">
        <f>IF(Q172="","",IFERROR(VALUE(RIGHT(Q172,1)),""))</f>
        <v/>
      </c>
      <c r="AB172" s="38">
        <f>IF(OR(M172="",W172=""),"",IFERROR(ROUND(440*2^((12*(W172+1)+IFERROR(MATCH(R172,{"C","C#","D","D#","E","F","F#","G","G#","A","A#","B"},0)-1,MATCH(R172,{"C","Db","D","Eb","E","F","Gb","G","Ab","A","Bb","B"},0)-1)-69)/12),2),""))</f>
        <v/>
      </c>
      <c r="AC172" s="38">
        <f>IF(OR(N172="",X172=""),"",IFERROR(ROUND(440*2^((12*(X172+1)+IFERROR(MATCH(S172,{"C","C#","D","D#","E","F","F#","G","G#","A","A#","B"},0)-1,MATCH(S172,{"C","Db","D","Eb","E","F","Gb","G","Ab","A","Bb","B"},0)-1)-69)/12),2),""))</f>
        <v/>
      </c>
      <c r="AD172" s="38">
        <f>IF(OR(O172="",Y172=""),"",IFERROR(ROUND(440*2^((12*(Y172+1)+IFERROR(MATCH(T172,{"C","C#","D","D#","E","F","F#","G","G#","A","A#","B"},0)-1,MATCH(T172,{"C","Db","D","Eb","E","F","Gb","G","Ab","A","Bb","B"},0)-1)-69)/12),2),""))</f>
        <v/>
      </c>
      <c r="AE172" s="38">
        <f>IF(OR(P172="",Z172=""),"",IFERROR(ROUND(440*2^((12*(Z172+1)+IFERROR(MATCH(U172,{"C","C#","D","D#","E","F","F#","G","G#","A","A#","B"},0)-1,MATCH(U172,{"C","Db","D","Eb","E","F","Gb","G","Ab","A","Bb","B"},0)-1)-69)/12),2),""))</f>
        <v/>
      </c>
      <c r="AF172" s="38">
        <f>IF(OR(Q172="",AA172=""),"",IFERROR(ROUND(440*2^((12*(AA172+1)+IFERROR(MATCH(V172,{"C","C#","D","D#","E","F","F#","G","G#","A","A#","B"},0)-1,MATCH(V172,{"C","Db","D","Eb","E","F","Gb","G","Ab","A","Bb","B"},0)-1)-69)/12),2),""))</f>
        <v/>
      </c>
      <c r="AG172" s="36" t="n"/>
      <c r="AH172" s="36" t="n"/>
      <c r="AI172" s="36" t="n"/>
      <c r="AJ172" s="36" t="inlineStr">
        <is>
          <t>Low</t>
        </is>
      </c>
      <c r="AK172" s="36" t="inlineStr">
        <is>
          <t>Low</t>
        </is>
      </c>
      <c r="AL172" s="35" t="n"/>
    </row>
    <row r="173">
      <c r="A173" s="35" t="inlineStr">
        <is>
          <t>TEST_018</t>
        </is>
      </c>
      <c r="B173" s="35" t="n">
        <v>1</v>
      </c>
      <c r="C173" s="36" t="n"/>
      <c r="D173" s="36" t="n"/>
      <c r="E173" s="36" t="n"/>
      <c r="F173" s="36" t="n">
        <v>6.67</v>
      </c>
      <c r="G173" s="36" t="n">
        <v>0.42</v>
      </c>
      <c r="H173" s="36" t="n"/>
      <c r="I173" s="36" t="n"/>
      <c r="J173" s="36" t="n"/>
      <c r="K173" s="36" t="n">
        <v>6.84</v>
      </c>
      <c r="L173" s="36" t="n">
        <v>0.62</v>
      </c>
      <c r="M173" s="36" t="n"/>
      <c r="N173" s="36" t="inlineStr">
        <is>
          <t>N/A</t>
        </is>
      </c>
      <c r="O173" s="36" t="inlineStr">
        <is>
          <t>N/A</t>
        </is>
      </c>
      <c r="P173" s="36" t="inlineStr">
        <is>
          <t>G4</t>
        </is>
      </c>
      <c r="Q173" s="36" t="inlineStr">
        <is>
          <t>E2</t>
        </is>
      </c>
      <c r="R173" s="38">
        <f>IF(M173="","",LEFT(M173,LEN(M173)-1))</f>
        <v/>
      </c>
      <c r="S173" s="38">
        <f>IF(N173="","",LEFT(N173,LEN(N173)-1))</f>
        <v/>
      </c>
      <c r="T173" s="38">
        <f>IF(O173="","",LEFT(O173,LEN(O173)-1))</f>
        <v/>
      </c>
      <c r="U173" s="38">
        <f>IF(P173="","",LEFT(P173,LEN(P173)-1))</f>
        <v/>
      </c>
      <c r="V173" s="38">
        <f>IF(Q173="","",LEFT(Q173,LEN(Q173)-1))</f>
        <v/>
      </c>
      <c r="W173" s="38">
        <f>IF(M173="","",IFERROR(VALUE(RIGHT(M173,1)),""))</f>
        <v/>
      </c>
      <c r="X173" s="38">
        <f>IF(N173="","",IFERROR(VALUE(RIGHT(N173,1)),""))</f>
        <v/>
      </c>
      <c r="Y173" s="38">
        <f>IF(O173="","",IFERROR(VALUE(RIGHT(O173,1)),""))</f>
        <v/>
      </c>
      <c r="Z173" s="38">
        <f>IF(P173="","",IFERROR(VALUE(RIGHT(P173,1)),""))</f>
        <v/>
      </c>
      <c r="AA173" s="38">
        <f>IF(Q173="","",IFERROR(VALUE(RIGHT(Q173,1)),""))</f>
        <v/>
      </c>
      <c r="AB173" s="38">
        <f>IF(OR(M173="",W173=""),"",IFERROR(ROUND(440*2^((12*(W173+1)+IFERROR(MATCH(R173,{"C","C#","D","D#","E","F","F#","G","G#","A","A#","B"},0)-1,MATCH(R173,{"C","Db","D","Eb","E","F","Gb","G","Ab","A","Bb","B"},0)-1)-69)/12),2),""))</f>
        <v/>
      </c>
      <c r="AC173" s="38">
        <f>IF(OR(N173="",X173=""),"",IFERROR(ROUND(440*2^((12*(X173+1)+IFERROR(MATCH(S173,{"C","C#","D","D#","E","F","F#","G","G#","A","A#","B"},0)-1,MATCH(S173,{"C","Db","D","Eb","E","F","Gb","G","Ab","A","Bb","B"},0)-1)-69)/12),2),""))</f>
        <v/>
      </c>
      <c r="AD173" s="38">
        <f>IF(OR(O173="",Y173=""),"",IFERROR(ROUND(440*2^((12*(Y173+1)+IFERROR(MATCH(T173,{"C","C#","D","D#","E","F","F#","G","G#","A","A#","B"},0)-1,MATCH(T173,{"C","Db","D","Eb","E","F","Gb","G","Ab","A","Bb","B"},0)-1)-69)/12),2),""))</f>
        <v/>
      </c>
      <c r="AE173" s="38">
        <f>IF(OR(P173="",Z173=""),"",IFERROR(ROUND(440*2^((12*(Z173+1)+IFERROR(MATCH(U173,{"C","C#","D","D#","E","F","F#","G","G#","A","A#","B"},0)-1,MATCH(U173,{"C","Db","D","Eb","E","F","Gb","G","Ab","A","Bb","B"},0)-1)-69)/12),2),""))</f>
        <v/>
      </c>
      <c r="AF173" s="38">
        <f>IF(OR(Q173="",AA173=""),"",IFERROR(ROUND(440*2^((12*(AA173+1)+IFERROR(MATCH(V173,{"C","C#","D","D#","E","F","F#","G","G#","A","A#","B"},0)-1,MATCH(V173,{"C","Db","D","Eb","E","F","Gb","G","Ab","A","Bb","B"},0)-1)-69)/12),2),""))</f>
        <v/>
      </c>
      <c r="AG173" s="36" t="n"/>
      <c r="AH173" s="36" t="n"/>
      <c r="AI173" s="36" t="n"/>
      <c r="AJ173" s="36" t="inlineStr">
        <is>
          <t>Low</t>
        </is>
      </c>
      <c r="AK173" s="36" t="inlineStr">
        <is>
          <t>Low</t>
        </is>
      </c>
      <c r="AL17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74">
      <c r="A174" s="35" t="inlineStr">
        <is>
          <t>TEST_018</t>
        </is>
      </c>
      <c r="B174" s="35" t="n">
        <v>2</v>
      </c>
      <c r="C174" s="36" t="n"/>
      <c r="D174" s="36" t="n"/>
      <c r="E174" s="36" t="n"/>
      <c r="F174" s="36" t="n">
        <v>7.65</v>
      </c>
      <c r="G174" s="36" t="n">
        <v>0.96</v>
      </c>
      <c r="H174" s="36" t="n"/>
      <c r="I174" s="36" t="n"/>
      <c r="J174" s="36" t="n"/>
      <c r="K174" s="36" t="n">
        <v>7.84</v>
      </c>
      <c r="L174" s="36" t="n">
        <v>1.17</v>
      </c>
      <c r="M174" s="36" t="n"/>
      <c r="N174" s="36" t="n"/>
      <c r="O174" s="36" t="n"/>
      <c r="P174" s="36" t="inlineStr">
        <is>
          <t>C4</t>
        </is>
      </c>
      <c r="Q174" s="36" t="inlineStr">
        <is>
          <t>E3</t>
        </is>
      </c>
      <c r="R174" s="38">
        <f>IF(M174="","",LEFT(M174,LEN(M174)-1))</f>
        <v/>
      </c>
      <c r="S174" s="38">
        <f>IF(N174="","",LEFT(N174,LEN(N174)-1))</f>
        <v/>
      </c>
      <c r="T174" s="38">
        <f>IF(O174="","",LEFT(O174,LEN(O174)-1))</f>
        <v/>
      </c>
      <c r="U174" s="38">
        <f>IF(P174="","",LEFT(P174,LEN(P174)-1))</f>
        <v/>
      </c>
      <c r="V174" s="38">
        <f>IF(Q174="","",LEFT(Q174,LEN(Q174)-1))</f>
        <v/>
      </c>
      <c r="W174" s="38">
        <f>IF(M174="","",IFERROR(VALUE(RIGHT(M174,1)),""))</f>
        <v/>
      </c>
      <c r="X174" s="38">
        <f>IF(N174="","",IFERROR(VALUE(RIGHT(N174,1)),""))</f>
        <v/>
      </c>
      <c r="Y174" s="38">
        <f>IF(O174="","",IFERROR(VALUE(RIGHT(O174,1)),""))</f>
        <v/>
      </c>
      <c r="Z174" s="38">
        <f>IF(P174="","",IFERROR(VALUE(RIGHT(P174,1)),""))</f>
        <v/>
      </c>
      <c r="AA174" s="38">
        <f>IF(Q174="","",IFERROR(VALUE(RIGHT(Q174,1)),""))</f>
        <v/>
      </c>
      <c r="AB174" s="38">
        <f>IF(OR(M174="",W174=""),"",IFERROR(ROUND(440*2^((12*(W174+1)+IFERROR(MATCH(R174,{"C","C#","D","D#","E","F","F#","G","G#","A","A#","B"},0)-1,MATCH(R174,{"C","Db","D","Eb","E","F","Gb","G","Ab","A","Bb","B"},0)-1)-69)/12),2),""))</f>
        <v/>
      </c>
      <c r="AC174" s="38">
        <f>IF(OR(N174="",X174=""),"",IFERROR(ROUND(440*2^((12*(X174+1)+IFERROR(MATCH(S174,{"C","C#","D","D#","E","F","F#","G","G#","A","A#","B"},0)-1,MATCH(S174,{"C","Db","D","Eb","E","F","Gb","G","Ab","A","Bb","B"},0)-1)-69)/12),2),""))</f>
        <v/>
      </c>
      <c r="AD174" s="38">
        <f>IF(OR(O174="",Y174=""),"",IFERROR(ROUND(440*2^((12*(Y174+1)+IFERROR(MATCH(T174,{"C","C#","D","D#","E","F","F#","G","G#","A","A#","B"},0)-1,MATCH(T174,{"C","Db","D","Eb","E","F","Gb","G","Ab","A","Bb","B"},0)-1)-69)/12),2),""))</f>
        <v/>
      </c>
      <c r="AE174" s="38">
        <f>IF(OR(P174="",Z174=""),"",IFERROR(ROUND(440*2^((12*(Z174+1)+IFERROR(MATCH(U174,{"C","C#","D","D#","E","F","F#","G","G#","A","A#","B"},0)-1,MATCH(U174,{"C","Db","D","Eb","E","F","Gb","G","Ab","A","Bb","B"},0)-1)-69)/12),2),""))</f>
        <v/>
      </c>
      <c r="AF174" s="38">
        <f>IF(OR(Q174="",AA174=""),"",IFERROR(ROUND(440*2^((12*(AA174+1)+IFERROR(MATCH(V174,{"C","C#","D","D#","E","F","F#","G","G#","A","A#","B"},0)-1,MATCH(V174,{"C","Db","D","Eb","E","F","Gb","G","Ab","A","Bb","B"},0)-1)-69)/12),2),""))</f>
        <v/>
      </c>
      <c r="AG174" s="36" t="n"/>
      <c r="AH174" s="36" t="n"/>
      <c r="AI174" s="36" t="n"/>
      <c r="AJ174" s="36" t="inlineStr">
        <is>
          <t>Low</t>
        </is>
      </c>
      <c r="AK174" s="36" t="inlineStr">
        <is>
          <t>Low</t>
        </is>
      </c>
      <c r="AL174" s="35" t="n"/>
    </row>
    <row r="175">
      <c r="A175" s="35" t="inlineStr">
        <is>
          <t>TEST_018</t>
        </is>
      </c>
      <c r="B175" s="35" t="n">
        <v>3</v>
      </c>
      <c r="C175" s="36" t="n"/>
      <c r="D175" s="36" t="n"/>
      <c r="E175" s="36" t="n"/>
      <c r="F175" s="36" t="n">
        <v>8.66</v>
      </c>
      <c r="G175" s="36" t="n">
        <v>2</v>
      </c>
      <c r="H175" s="36" t="n"/>
      <c r="I175" s="36" t="n"/>
      <c r="J175" s="36" t="n"/>
      <c r="K175" s="36" t="n">
        <v>8.91</v>
      </c>
      <c r="L175" s="36" t="n">
        <v>2.31</v>
      </c>
      <c r="M175" s="36" t="n"/>
      <c r="N175" s="36" t="n"/>
      <c r="O175" s="36" t="n"/>
      <c r="P175" s="36" t="inlineStr">
        <is>
          <t>C#4</t>
        </is>
      </c>
      <c r="Q175" s="36" t="inlineStr">
        <is>
          <t>G2</t>
        </is>
      </c>
      <c r="R175" s="38">
        <f>IF(M175="","",LEFT(M175,LEN(M175)-1))</f>
        <v/>
      </c>
      <c r="S175" s="38">
        <f>IF(N175="","",LEFT(N175,LEN(N175)-1))</f>
        <v/>
      </c>
      <c r="T175" s="38">
        <f>IF(O175="","",LEFT(O175,LEN(O175)-1))</f>
        <v/>
      </c>
      <c r="U175" s="38">
        <f>IF(P175="","",LEFT(P175,LEN(P175)-1))</f>
        <v/>
      </c>
      <c r="V175" s="38">
        <f>IF(Q175="","",LEFT(Q175,LEN(Q175)-1))</f>
        <v/>
      </c>
      <c r="W175" s="38">
        <f>IF(M175="","",IFERROR(VALUE(RIGHT(M175,1)),""))</f>
        <v/>
      </c>
      <c r="X175" s="38">
        <f>IF(N175="","",IFERROR(VALUE(RIGHT(N175,1)),""))</f>
        <v/>
      </c>
      <c r="Y175" s="38">
        <f>IF(O175="","",IFERROR(VALUE(RIGHT(O175,1)),""))</f>
        <v/>
      </c>
      <c r="Z175" s="38">
        <f>IF(P175="","",IFERROR(VALUE(RIGHT(P175,1)),""))</f>
        <v/>
      </c>
      <c r="AA175" s="38">
        <f>IF(Q175="","",IFERROR(VALUE(RIGHT(Q175,1)),""))</f>
        <v/>
      </c>
      <c r="AB175" s="38">
        <f>IF(OR(M175="",W175=""),"",IFERROR(ROUND(440*2^((12*(W175+1)+IFERROR(MATCH(R175,{"C","C#","D","D#","E","F","F#","G","G#","A","A#","B"},0)-1,MATCH(R175,{"C","Db","D","Eb","E","F","Gb","G","Ab","A","Bb","B"},0)-1)-69)/12),2),""))</f>
        <v/>
      </c>
      <c r="AC175" s="38">
        <f>IF(OR(N175="",X175=""),"",IFERROR(ROUND(440*2^((12*(X175+1)+IFERROR(MATCH(S175,{"C","C#","D","D#","E","F","F#","G","G#","A","A#","B"},0)-1,MATCH(S175,{"C","Db","D","Eb","E","F","Gb","G","Ab","A","Bb","B"},0)-1)-69)/12),2),""))</f>
        <v/>
      </c>
      <c r="AD175" s="38">
        <f>IF(OR(O175="",Y175=""),"",IFERROR(ROUND(440*2^((12*(Y175+1)+IFERROR(MATCH(T175,{"C","C#","D","D#","E","F","F#","G","G#","A","A#","B"},0)-1,MATCH(T175,{"C","Db","D","Eb","E","F","Gb","G","Ab","A","Bb","B"},0)-1)-69)/12),2),""))</f>
        <v/>
      </c>
      <c r="AE175" s="38">
        <f>IF(OR(P175="",Z175=""),"",IFERROR(ROUND(440*2^((12*(Z175+1)+IFERROR(MATCH(U175,{"C","C#","D","D#","E","F","F#","G","G#","A","A#","B"},0)-1,MATCH(U175,{"C","Db","D","Eb","E","F","Gb","G","Ab","A","Bb","B"},0)-1)-69)/12),2),""))</f>
        <v/>
      </c>
      <c r="AF175" s="38">
        <f>IF(OR(Q175="",AA175=""),"",IFERROR(ROUND(440*2^((12*(AA175+1)+IFERROR(MATCH(V175,{"C","C#","D","D#","E","F","F#","G","G#","A","A#","B"},0)-1,MATCH(V175,{"C","Db","D","Eb","E","F","Gb","G","Ab","A","Bb","B"},0)-1)-69)/12),2),""))</f>
        <v/>
      </c>
      <c r="AG175" s="36" t="n"/>
      <c r="AH175" s="36" t="n"/>
      <c r="AI175" s="36" t="n"/>
      <c r="AJ175" s="36" t="inlineStr">
        <is>
          <t>Low</t>
        </is>
      </c>
      <c r="AK175" s="36" t="inlineStr">
        <is>
          <t>Low</t>
        </is>
      </c>
      <c r="AL175" s="35" t="n"/>
    </row>
    <row r="176">
      <c r="A176" s="35" t="inlineStr">
        <is>
          <t>TEST_018</t>
        </is>
      </c>
      <c r="B176" s="35" t="n">
        <v>4</v>
      </c>
      <c r="C176" s="36" t="n"/>
      <c r="D176" s="36" t="n"/>
      <c r="E176" s="36" t="n"/>
      <c r="F176" s="36" t="n">
        <v>10.31</v>
      </c>
      <c r="G176" s="36" t="n">
        <v>3.37</v>
      </c>
      <c r="H176" s="36" t="n"/>
      <c r="I176" s="36" t="n"/>
      <c r="J176" s="36" t="n"/>
      <c r="K176" s="36" t="n">
        <v>10.48</v>
      </c>
      <c r="L176" s="36" t="n">
        <v>3.84</v>
      </c>
      <c r="M176" s="36" t="n"/>
      <c r="N176" s="36" t="n"/>
      <c r="O176" s="36" t="n"/>
      <c r="P176" s="36" t="inlineStr">
        <is>
          <t>F#4</t>
        </is>
      </c>
      <c r="Q176" s="36" t="inlineStr">
        <is>
          <t>B2</t>
        </is>
      </c>
      <c r="R176" s="38">
        <f>IF(M176="","",LEFT(M176,LEN(M176)-1))</f>
        <v/>
      </c>
      <c r="S176" s="38">
        <f>IF(N176="","",LEFT(N176,LEN(N176)-1))</f>
        <v/>
      </c>
      <c r="T176" s="38">
        <f>IF(O176="","",LEFT(O176,LEN(O176)-1))</f>
        <v/>
      </c>
      <c r="U176" s="38">
        <f>IF(P176="","",LEFT(P176,LEN(P176)-1))</f>
        <v/>
      </c>
      <c r="V176" s="38">
        <f>IF(Q176="","",LEFT(Q176,LEN(Q176)-1))</f>
        <v/>
      </c>
      <c r="W176" s="38">
        <f>IF(M176="","",IFERROR(VALUE(RIGHT(M176,1)),""))</f>
        <v/>
      </c>
      <c r="X176" s="38">
        <f>IF(N176="","",IFERROR(VALUE(RIGHT(N176,1)),""))</f>
        <v/>
      </c>
      <c r="Y176" s="38">
        <f>IF(O176="","",IFERROR(VALUE(RIGHT(O176,1)),""))</f>
        <v/>
      </c>
      <c r="Z176" s="38">
        <f>IF(P176="","",IFERROR(VALUE(RIGHT(P176,1)),""))</f>
        <v/>
      </c>
      <c r="AA176" s="38">
        <f>IF(Q176="","",IFERROR(VALUE(RIGHT(Q176,1)),""))</f>
        <v/>
      </c>
      <c r="AB176" s="38">
        <f>IF(OR(M176="",W176=""),"",IFERROR(ROUND(440*2^((12*(W176+1)+IFERROR(MATCH(R176,{"C","C#","D","D#","E","F","F#","G","G#","A","A#","B"},0)-1,MATCH(R176,{"C","Db","D","Eb","E","F","Gb","G","Ab","A","Bb","B"},0)-1)-69)/12),2),""))</f>
        <v/>
      </c>
      <c r="AC176" s="38">
        <f>IF(OR(N176="",X176=""),"",IFERROR(ROUND(440*2^((12*(X176+1)+IFERROR(MATCH(S176,{"C","C#","D","D#","E","F","F#","G","G#","A","A#","B"},0)-1,MATCH(S176,{"C","Db","D","Eb","E","F","Gb","G","Ab","A","Bb","B"},0)-1)-69)/12),2),""))</f>
        <v/>
      </c>
      <c r="AD176" s="38">
        <f>IF(OR(O176="",Y176=""),"",IFERROR(ROUND(440*2^((12*(Y176+1)+IFERROR(MATCH(T176,{"C","C#","D","D#","E","F","F#","G","G#","A","A#","B"},0)-1,MATCH(T176,{"C","Db","D","Eb","E","F","Gb","G","Ab","A","Bb","B"},0)-1)-69)/12),2),""))</f>
        <v/>
      </c>
      <c r="AE176" s="38">
        <f>IF(OR(P176="",Z176=""),"",IFERROR(ROUND(440*2^((12*(Z176+1)+IFERROR(MATCH(U176,{"C","C#","D","D#","E","F","F#","G","G#","A","A#","B"},0)-1,MATCH(U176,{"C","Db","D","Eb","E","F","Gb","G","Ab","A","Bb","B"},0)-1)-69)/12),2),""))</f>
        <v/>
      </c>
      <c r="AF176" s="38">
        <f>IF(OR(Q176="",AA176=""),"",IFERROR(ROUND(440*2^((12*(AA176+1)+IFERROR(MATCH(V176,{"C","C#","D","D#","E","F","F#","G","G#","A","A#","B"},0)-1,MATCH(V176,{"C","Db","D","Eb","E","F","Gb","G","Ab","A","Bb","B"},0)-1)-69)/12),2),""))</f>
        <v/>
      </c>
      <c r="AG176" s="36" t="n"/>
      <c r="AH176" s="36" t="n"/>
      <c r="AI176" s="36" t="n"/>
      <c r="AJ176" s="36" t="inlineStr">
        <is>
          <t>Low</t>
        </is>
      </c>
      <c r="AK176" s="36" t="inlineStr">
        <is>
          <t>Low</t>
        </is>
      </c>
      <c r="AL176" s="35" t="n"/>
    </row>
    <row r="177">
      <c r="A177" s="35" t="inlineStr">
        <is>
          <t>TEST_018</t>
        </is>
      </c>
      <c r="B177" s="35" t="n">
        <v>5</v>
      </c>
      <c r="C177" s="36" t="n"/>
      <c r="D177" s="36" t="n"/>
      <c r="E177" s="36" t="n"/>
      <c r="F177" s="36" t="n">
        <v>11.18</v>
      </c>
      <c r="G177" s="36" t="n">
        <v>4.54</v>
      </c>
      <c r="H177" s="36" t="n"/>
      <c r="I177" s="36" t="n"/>
      <c r="J177" s="36" t="n"/>
      <c r="K177" s="36" t="n">
        <v>11.58</v>
      </c>
      <c r="L177" s="36" t="n">
        <v>4.81</v>
      </c>
      <c r="M177" s="36" t="n"/>
      <c r="N177" s="36" t="n"/>
      <c r="O177" s="36" t="n"/>
      <c r="P177" s="36" t="inlineStr">
        <is>
          <t>B3</t>
        </is>
      </c>
      <c r="Q177" s="36" t="inlineStr">
        <is>
          <t>G2</t>
        </is>
      </c>
      <c r="R177" s="38">
        <f>IF(M177="","",LEFT(M177,LEN(M177)-1))</f>
        <v/>
      </c>
      <c r="S177" s="38">
        <f>IF(N177="","",LEFT(N177,LEN(N177)-1))</f>
        <v/>
      </c>
      <c r="T177" s="38">
        <f>IF(O177="","",LEFT(O177,LEN(O177)-1))</f>
        <v/>
      </c>
      <c r="U177" s="38">
        <f>IF(P177="","",LEFT(P177,LEN(P177)-1))</f>
        <v/>
      </c>
      <c r="V177" s="38">
        <f>IF(Q177="","",LEFT(Q177,LEN(Q177)-1))</f>
        <v/>
      </c>
      <c r="W177" s="38">
        <f>IF(M177="","",IFERROR(VALUE(RIGHT(M177,1)),""))</f>
        <v/>
      </c>
      <c r="X177" s="38">
        <f>IF(N177="","",IFERROR(VALUE(RIGHT(N177,1)),""))</f>
        <v/>
      </c>
      <c r="Y177" s="38">
        <f>IF(O177="","",IFERROR(VALUE(RIGHT(O177,1)),""))</f>
        <v/>
      </c>
      <c r="Z177" s="38">
        <f>IF(P177="","",IFERROR(VALUE(RIGHT(P177,1)),""))</f>
        <v/>
      </c>
      <c r="AA177" s="38">
        <f>IF(Q177="","",IFERROR(VALUE(RIGHT(Q177,1)),""))</f>
        <v/>
      </c>
      <c r="AB177" s="38">
        <f>IF(OR(M177="",W177=""),"",IFERROR(ROUND(440*2^((12*(W177+1)+IFERROR(MATCH(R177,{"C","C#","D","D#","E","F","F#","G","G#","A","A#","B"},0)-1,MATCH(R177,{"C","Db","D","Eb","E","F","Gb","G","Ab","A","Bb","B"},0)-1)-69)/12),2),""))</f>
        <v/>
      </c>
      <c r="AC177" s="38">
        <f>IF(OR(N177="",X177=""),"",IFERROR(ROUND(440*2^((12*(X177+1)+IFERROR(MATCH(S177,{"C","C#","D","D#","E","F","F#","G","G#","A","A#","B"},0)-1,MATCH(S177,{"C","Db","D","Eb","E","F","Gb","G","Ab","A","Bb","B"},0)-1)-69)/12),2),""))</f>
        <v/>
      </c>
      <c r="AD177" s="38">
        <f>IF(OR(O177="",Y177=""),"",IFERROR(ROUND(440*2^((12*(Y177+1)+IFERROR(MATCH(T177,{"C","C#","D","D#","E","F","F#","G","G#","A","A#","B"},0)-1,MATCH(T177,{"C","Db","D","Eb","E","F","Gb","G","Ab","A","Bb","B"},0)-1)-69)/12),2),""))</f>
        <v/>
      </c>
      <c r="AE177" s="38">
        <f>IF(OR(P177="",Z177=""),"",IFERROR(ROUND(440*2^((12*(Z177+1)+IFERROR(MATCH(U177,{"C","C#","D","D#","E","F","F#","G","G#","A","A#","B"},0)-1,MATCH(U177,{"C","Db","D","Eb","E","F","Gb","G","Ab","A","Bb","B"},0)-1)-69)/12),2),""))</f>
        <v/>
      </c>
      <c r="AF177" s="38">
        <f>IF(OR(Q177="",AA177=""),"",IFERROR(ROUND(440*2^((12*(AA177+1)+IFERROR(MATCH(V177,{"C","C#","D","D#","E","F","F#","G","G#","A","A#","B"},0)-1,MATCH(V177,{"C","Db","D","Eb","E","F","Gb","G","Ab","A","Bb","B"},0)-1)-69)/12),2),""))</f>
        <v/>
      </c>
      <c r="AG177" s="36" t="n"/>
      <c r="AH177" s="36" t="n"/>
      <c r="AI177" s="36" t="n"/>
      <c r="AJ177" s="36" t="inlineStr">
        <is>
          <t>Low</t>
        </is>
      </c>
      <c r="AK177" s="36" t="inlineStr">
        <is>
          <t>Low</t>
        </is>
      </c>
      <c r="AL177" s="35" t="n"/>
    </row>
    <row r="178">
      <c r="A178" s="35" t="inlineStr">
        <is>
          <t>TEST_018</t>
        </is>
      </c>
      <c r="B178" s="35" t="n">
        <v>6</v>
      </c>
      <c r="C178" s="36" t="n"/>
      <c r="D178" s="36" t="n"/>
      <c r="E178" s="36" t="n"/>
      <c r="F178" s="36" t="n">
        <v>11.59</v>
      </c>
      <c r="G178" s="36" t="n">
        <v>4.86</v>
      </c>
      <c r="H178" s="36" t="n"/>
      <c r="I178" s="36" t="n"/>
      <c r="J178" s="36" t="n"/>
      <c r="K178" s="36" t="n">
        <v>11.77</v>
      </c>
      <c r="L178" s="36" t="n">
        <v>5.72</v>
      </c>
      <c r="M178" s="36" t="n"/>
      <c r="N178" s="36" t="n"/>
      <c r="O178" s="36" t="n"/>
      <c r="P178" s="36" t="inlineStr">
        <is>
          <t>C4</t>
        </is>
      </c>
      <c r="Q178" s="36" t="inlineStr">
        <is>
          <t>G2</t>
        </is>
      </c>
      <c r="R178" s="38">
        <f>IF(M178="","",LEFT(M178,LEN(M178)-1))</f>
        <v/>
      </c>
      <c r="S178" s="38">
        <f>IF(N178="","",LEFT(N178,LEN(N178)-1))</f>
        <v/>
      </c>
      <c r="T178" s="38">
        <f>IF(O178="","",LEFT(O178,LEN(O178)-1))</f>
        <v/>
      </c>
      <c r="U178" s="38">
        <f>IF(P178="","",LEFT(P178,LEN(P178)-1))</f>
        <v/>
      </c>
      <c r="V178" s="38">
        <f>IF(Q178="","",LEFT(Q178,LEN(Q178)-1))</f>
        <v/>
      </c>
      <c r="W178" s="38">
        <f>IF(M178="","",IFERROR(VALUE(RIGHT(M178,1)),""))</f>
        <v/>
      </c>
      <c r="X178" s="38">
        <f>IF(N178="","",IFERROR(VALUE(RIGHT(N178,1)),""))</f>
        <v/>
      </c>
      <c r="Y178" s="38">
        <f>IF(O178="","",IFERROR(VALUE(RIGHT(O178,1)),""))</f>
        <v/>
      </c>
      <c r="Z178" s="38">
        <f>IF(P178="","",IFERROR(VALUE(RIGHT(P178,1)),""))</f>
        <v/>
      </c>
      <c r="AA178" s="38">
        <f>IF(Q178="","",IFERROR(VALUE(RIGHT(Q178,1)),""))</f>
        <v/>
      </c>
      <c r="AB178" s="38">
        <f>IF(OR(M178="",W178=""),"",IFERROR(ROUND(440*2^((12*(W178+1)+IFERROR(MATCH(R178,{"C","C#","D","D#","E","F","F#","G","G#","A","A#","B"},0)-1,MATCH(R178,{"C","Db","D","Eb","E","F","Gb","G","Ab","A","Bb","B"},0)-1)-69)/12),2),""))</f>
        <v/>
      </c>
      <c r="AC178" s="38">
        <f>IF(OR(N178="",X178=""),"",IFERROR(ROUND(440*2^((12*(X178+1)+IFERROR(MATCH(S178,{"C","C#","D","D#","E","F","F#","G","G#","A","A#","B"},0)-1,MATCH(S178,{"C","Db","D","Eb","E","F","Gb","G","Ab","A","Bb","B"},0)-1)-69)/12),2),""))</f>
        <v/>
      </c>
      <c r="AD178" s="38">
        <f>IF(OR(O178="",Y178=""),"",IFERROR(ROUND(440*2^((12*(Y178+1)+IFERROR(MATCH(T178,{"C","C#","D","D#","E","F","F#","G","G#","A","A#","B"},0)-1,MATCH(T178,{"C","Db","D","Eb","E","F","Gb","G","Ab","A","Bb","B"},0)-1)-69)/12),2),""))</f>
        <v/>
      </c>
      <c r="AE178" s="38">
        <f>IF(OR(P178="",Z178=""),"",IFERROR(ROUND(440*2^((12*(Z178+1)+IFERROR(MATCH(U178,{"C","C#","D","D#","E","F","F#","G","G#","A","A#","B"},0)-1,MATCH(U178,{"C","Db","D","Eb","E","F","Gb","G","Ab","A","Bb","B"},0)-1)-69)/12),2),""))</f>
        <v/>
      </c>
      <c r="AF178" s="38">
        <f>IF(OR(Q178="",AA178=""),"",IFERROR(ROUND(440*2^((12*(AA178+1)+IFERROR(MATCH(V178,{"C","C#","D","D#","E","F","F#","G","G#","A","A#","B"},0)-1,MATCH(V178,{"C","Db","D","Eb","E","F","Gb","G","Ab","A","Bb","B"},0)-1)-69)/12),2),""))</f>
        <v/>
      </c>
      <c r="AG178" s="36" t="n"/>
      <c r="AH178" s="36" t="n"/>
      <c r="AI178" s="36" t="n"/>
      <c r="AJ178" s="36" t="inlineStr">
        <is>
          <t>Low</t>
        </is>
      </c>
      <c r="AK178" s="36" t="inlineStr">
        <is>
          <t>Low</t>
        </is>
      </c>
      <c r="AL178" s="35" t="n"/>
    </row>
    <row r="179">
      <c r="A179" s="35" t="inlineStr">
        <is>
          <t>TEST_018</t>
        </is>
      </c>
      <c r="B179" s="35" t="n">
        <v>7</v>
      </c>
      <c r="C179" s="36" t="n"/>
      <c r="D179" s="36" t="n"/>
      <c r="E179" s="36" t="n"/>
      <c r="F179" s="36" t="n">
        <v>12.47</v>
      </c>
      <c r="G179" s="36" t="n">
        <v>5.84</v>
      </c>
      <c r="H179" s="36" t="n"/>
      <c r="I179" s="36" t="n"/>
      <c r="J179" s="36" t="n"/>
      <c r="K179" s="36" t="n">
        <v>13.06</v>
      </c>
      <c r="L179" s="36" t="n">
        <v>6.08</v>
      </c>
      <c r="M179" s="36" t="n"/>
      <c r="N179" s="36" t="n"/>
      <c r="O179" s="36" t="n"/>
      <c r="P179" s="36" t="inlineStr">
        <is>
          <t>E4</t>
        </is>
      </c>
      <c r="Q179" s="36" t="inlineStr">
        <is>
          <t>G2</t>
        </is>
      </c>
      <c r="R179" s="38">
        <f>IF(M179="","",LEFT(M179,LEN(M179)-1))</f>
        <v/>
      </c>
      <c r="S179" s="38">
        <f>IF(N179="","",LEFT(N179,LEN(N179)-1))</f>
        <v/>
      </c>
      <c r="T179" s="38">
        <f>IF(O179="","",LEFT(O179,LEN(O179)-1))</f>
        <v/>
      </c>
      <c r="U179" s="38">
        <f>IF(P179="","",LEFT(P179,LEN(P179)-1))</f>
        <v/>
      </c>
      <c r="V179" s="38">
        <f>IF(Q179="","",LEFT(Q179,LEN(Q179)-1))</f>
        <v/>
      </c>
      <c r="W179" s="38">
        <f>IF(M179="","",IFERROR(VALUE(RIGHT(M179,1)),""))</f>
        <v/>
      </c>
      <c r="X179" s="38">
        <f>IF(N179="","",IFERROR(VALUE(RIGHT(N179,1)),""))</f>
        <v/>
      </c>
      <c r="Y179" s="38">
        <f>IF(O179="","",IFERROR(VALUE(RIGHT(O179,1)),""))</f>
        <v/>
      </c>
      <c r="Z179" s="38">
        <f>IF(P179="","",IFERROR(VALUE(RIGHT(P179,1)),""))</f>
        <v/>
      </c>
      <c r="AA179" s="38">
        <f>IF(Q179="","",IFERROR(VALUE(RIGHT(Q179,1)),""))</f>
        <v/>
      </c>
      <c r="AB179" s="38">
        <f>IF(OR(M179="",W179=""),"",IFERROR(ROUND(440*2^((12*(W179+1)+IFERROR(MATCH(R179,{"C","C#","D","D#","E","F","F#","G","G#","A","A#","B"},0)-1,MATCH(R179,{"C","Db","D","Eb","E","F","Gb","G","Ab","A","Bb","B"},0)-1)-69)/12),2),""))</f>
        <v/>
      </c>
      <c r="AC179" s="38">
        <f>IF(OR(N179="",X179=""),"",IFERROR(ROUND(440*2^((12*(X179+1)+IFERROR(MATCH(S179,{"C","C#","D","D#","E","F","F#","G","G#","A","A#","B"},0)-1,MATCH(S179,{"C","Db","D","Eb","E","F","Gb","G","Ab","A","Bb","B"},0)-1)-69)/12),2),""))</f>
        <v/>
      </c>
      <c r="AD179" s="38">
        <f>IF(OR(O179="",Y179=""),"",IFERROR(ROUND(440*2^((12*(Y179+1)+IFERROR(MATCH(T179,{"C","C#","D","D#","E","F","F#","G","G#","A","A#","B"},0)-1,MATCH(T179,{"C","Db","D","Eb","E","F","Gb","G","Ab","A","Bb","B"},0)-1)-69)/12),2),""))</f>
        <v/>
      </c>
      <c r="AE179" s="38">
        <f>IF(OR(P179="",Z179=""),"",IFERROR(ROUND(440*2^((12*(Z179+1)+IFERROR(MATCH(U179,{"C","C#","D","D#","E","F","F#","G","G#","A","A#","B"},0)-1,MATCH(U179,{"C","Db","D","Eb","E","F","Gb","G","Ab","A","Bb","B"},0)-1)-69)/12),2),""))</f>
        <v/>
      </c>
      <c r="AF179" s="38">
        <f>IF(OR(Q179="",AA179=""),"",IFERROR(ROUND(440*2^((12*(AA179+1)+IFERROR(MATCH(V179,{"C","C#","D","D#","E","F","F#","G","G#","A","A#","B"},0)-1,MATCH(V179,{"C","Db","D","Eb","E","F","Gb","G","Ab","A","Bb","B"},0)-1)-69)/12),2),""))</f>
        <v/>
      </c>
      <c r="AG179" s="36" t="n"/>
      <c r="AH179" s="36" t="n"/>
      <c r="AI179" s="36" t="n"/>
      <c r="AJ179" s="36" t="inlineStr">
        <is>
          <t>Low</t>
        </is>
      </c>
      <c r="AK179" s="36" t="inlineStr">
        <is>
          <t>Low</t>
        </is>
      </c>
      <c r="AL179" s="35" t="n"/>
    </row>
    <row r="180">
      <c r="A180" s="35" t="inlineStr">
        <is>
          <t>TEST_018</t>
        </is>
      </c>
      <c r="B180" s="35" t="n">
        <v>8</v>
      </c>
      <c r="C180" s="36" t="n"/>
      <c r="D180" s="36" t="n"/>
      <c r="E180" s="36" t="n"/>
      <c r="F180" s="36" t="n">
        <v>14.94</v>
      </c>
      <c r="G180" s="36" t="n">
        <v>8.210000000000001</v>
      </c>
      <c r="H180" s="36" t="n"/>
      <c r="I180" s="36" t="n"/>
      <c r="J180" s="36" t="n"/>
      <c r="K180" s="36" t="n">
        <v>15.15</v>
      </c>
      <c r="L180" s="36" t="n">
        <v>8.359999999999999</v>
      </c>
      <c r="M180" s="36" t="n"/>
      <c r="N180" s="36" t="n"/>
      <c r="O180" s="36" t="n"/>
      <c r="P180" s="36" t="inlineStr">
        <is>
          <t>B3</t>
        </is>
      </c>
      <c r="Q180" s="36" t="inlineStr">
        <is>
          <t>G2</t>
        </is>
      </c>
      <c r="R180" s="38">
        <f>IF(M180="","",LEFT(M180,LEN(M180)-1))</f>
        <v/>
      </c>
      <c r="S180" s="38">
        <f>IF(N180="","",LEFT(N180,LEN(N180)-1))</f>
        <v/>
      </c>
      <c r="T180" s="38">
        <f>IF(O180="","",LEFT(O180,LEN(O180)-1))</f>
        <v/>
      </c>
      <c r="U180" s="38">
        <f>IF(P180="","",LEFT(P180,LEN(P180)-1))</f>
        <v/>
      </c>
      <c r="V180" s="38">
        <f>IF(Q180="","",LEFT(Q180,LEN(Q180)-1))</f>
        <v/>
      </c>
      <c r="W180" s="38">
        <f>IF(M180="","",IFERROR(VALUE(RIGHT(M180,1)),""))</f>
        <v/>
      </c>
      <c r="X180" s="38">
        <f>IF(N180="","",IFERROR(VALUE(RIGHT(N180,1)),""))</f>
        <v/>
      </c>
      <c r="Y180" s="38">
        <f>IF(O180="","",IFERROR(VALUE(RIGHT(O180,1)),""))</f>
        <v/>
      </c>
      <c r="Z180" s="38">
        <f>IF(P180="","",IFERROR(VALUE(RIGHT(P180,1)),""))</f>
        <v/>
      </c>
      <c r="AA180" s="38">
        <f>IF(Q180="","",IFERROR(VALUE(RIGHT(Q180,1)),""))</f>
        <v/>
      </c>
      <c r="AB180" s="38">
        <f>IF(OR(M180="",W180=""),"",IFERROR(ROUND(440*2^((12*(W180+1)+IFERROR(MATCH(R180,{"C","C#","D","D#","E","F","F#","G","G#","A","A#","B"},0)-1,MATCH(R180,{"C","Db","D","Eb","E","F","Gb","G","Ab","A","Bb","B"},0)-1)-69)/12),2),""))</f>
        <v/>
      </c>
      <c r="AC180" s="38">
        <f>IF(OR(N180="",X180=""),"",IFERROR(ROUND(440*2^((12*(X180+1)+IFERROR(MATCH(S180,{"C","C#","D","D#","E","F","F#","G","G#","A","A#","B"},0)-1,MATCH(S180,{"C","Db","D","Eb","E","F","Gb","G","Ab","A","Bb","B"},0)-1)-69)/12),2),""))</f>
        <v/>
      </c>
      <c r="AD180" s="38">
        <f>IF(OR(O180="",Y180=""),"",IFERROR(ROUND(440*2^((12*(Y180+1)+IFERROR(MATCH(T180,{"C","C#","D","D#","E","F","F#","G","G#","A","A#","B"},0)-1,MATCH(T180,{"C","Db","D","Eb","E","F","Gb","G","Ab","A","Bb","B"},0)-1)-69)/12),2),""))</f>
        <v/>
      </c>
      <c r="AE180" s="38">
        <f>IF(OR(P180="",Z180=""),"",IFERROR(ROUND(440*2^((12*(Z180+1)+IFERROR(MATCH(U180,{"C","C#","D","D#","E","F","F#","G","G#","A","A#","B"},0)-1,MATCH(U180,{"C","Db","D","Eb","E","F","Gb","G","Ab","A","Bb","B"},0)-1)-69)/12),2),""))</f>
        <v/>
      </c>
      <c r="AF180" s="38">
        <f>IF(OR(Q180="",AA180=""),"",IFERROR(ROUND(440*2^((12*(AA180+1)+IFERROR(MATCH(V180,{"C","C#","D","D#","E","F","F#","G","G#","A","A#","B"},0)-1,MATCH(V180,{"C","Db","D","Eb","E","F","Gb","G","Ab","A","Bb","B"},0)-1)-69)/12),2),""))</f>
        <v/>
      </c>
      <c r="AG180" s="36" t="n"/>
      <c r="AH180" s="36" t="n"/>
      <c r="AI180" s="36" t="n"/>
      <c r="AJ180" s="36" t="inlineStr">
        <is>
          <t>Low</t>
        </is>
      </c>
      <c r="AK180" s="36" t="inlineStr">
        <is>
          <t>Low</t>
        </is>
      </c>
      <c r="AL180" s="35" t="n"/>
    </row>
    <row r="181">
      <c r="A181" s="35" t="inlineStr">
        <is>
          <t>TEST_018</t>
        </is>
      </c>
      <c r="B181" s="35" t="n">
        <v>9</v>
      </c>
      <c r="C181" s="36" t="n"/>
      <c r="D181" s="36" t="n"/>
      <c r="E181" s="36" t="n"/>
      <c r="F181" s="36" t="n">
        <v>15.49</v>
      </c>
      <c r="G181" s="36" t="n">
        <v>8.42</v>
      </c>
      <c r="H181" s="36" t="n"/>
      <c r="I181" s="36" t="n"/>
      <c r="J181" s="36" t="n"/>
      <c r="K181" s="36" t="n">
        <v>15.64</v>
      </c>
      <c r="L181" s="36" t="n">
        <v>8.68</v>
      </c>
      <c r="M181" s="36" t="n"/>
      <c r="N181" s="36" t="n"/>
      <c r="O181" s="36" t="n"/>
      <c r="P181" s="36" t="inlineStr">
        <is>
          <t>B3</t>
        </is>
      </c>
      <c r="Q181" s="36" t="inlineStr">
        <is>
          <t>G2</t>
        </is>
      </c>
      <c r="R181" s="38">
        <f>IF(M181="","",LEFT(M181,LEN(M181)-1))</f>
        <v/>
      </c>
      <c r="S181" s="38">
        <f>IF(N181="","",LEFT(N181,LEN(N181)-1))</f>
        <v/>
      </c>
      <c r="T181" s="38">
        <f>IF(O181="","",LEFT(O181,LEN(O181)-1))</f>
        <v/>
      </c>
      <c r="U181" s="38">
        <f>IF(P181="","",LEFT(P181,LEN(P181)-1))</f>
        <v/>
      </c>
      <c r="V181" s="38">
        <f>IF(Q181="","",LEFT(Q181,LEN(Q181)-1))</f>
        <v/>
      </c>
      <c r="W181" s="38">
        <f>IF(M181="","",IFERROR(VALUE(RIGHT(M181,1)),""))</f>
        <v/>
      </c>
      <c r="X181" s="38">
        <f>IF(N181="","",IFERROR(VALUE(RIGHT(N181,1)),""))</f>
        <v/>
      </c>
      <c r="Y181" s="38">
        <f>IF(O181="","",IFERROR(VALUE(RIGHT(O181,1)),""))</f>
        <v/>
      </c>
      <c r="Z181" s="38">
        <f>IF(P181="","",IFERROR(VALUE(RIGHT(P181,1)),""))</f>
        <v/>
      </c>
      <c r="AA181" s="38">
        <f>IF(Q181="","",IFERROR(VALUE(RIGHT(Q181,1)),""))</f>
        <v/>
      </c>
      <c r="AB181" s="38">
        <f>IF(OR(M181="",W181=""),"",IFERROR(ROUND(440*2^((12*(W181+1)+IFERROR(MATCH(R181,{"C","C#","D","D#","E","F","F#","G","G#","A","A#","B"},0)-1,MATCH(R181,{"C","Db","D","Eb","E","F","Gb","G","Ab","A","Bb","B"},0)-1)-69)/12),2),""))</f>
        <v/>
      </c>
      <c r="AC181" s="38">
        <f>IF(OR(N181="",X181=""),"",IFERROR(ROUND(440*2^((12*(X181+1)+IFERROR(MATCH(S181,{"C","C#","D","D#","E","F","F#","G","G#","A","A#","B"},0)-1,MATCH(S181,{"C","Db","D","Eb","E","F","Gb","G","Ab","A","Bb","B"},0)-1)-69)/12),2),""))</f>
        <v/>
      </c>
      <c r="AD181" s="38">
        <f>IF(OR(O181="",Y181=""),"",IFERROR(ROUND(440*2^((12*(Y181+1)+IFERROR(MATCH(T181,{"C","C#","D","D#","E","F","F#","G","G#","A","A#","B"},0)-1,MATCH(T181,{"C","Db","D","Eb","E","F","Gb","G","Ab","A","Bb","B"},0)-1)-69)/12),2),""))</f>
        <v/>
      </c>
      <c r="AE181" s="38">
        <f>IF(OR(P181="",Z181=""),"",IFERROR(ROUND(440*2^((12*(Z181+1)+IFERROR(MATCH(U181,{"C","C#","D","D#","E","F","F#","G","G#","A","A#","B"},0)-1,MATCH(U181,{"C","Db","D","Eb","E","F","Gb","G","Ab","A","Bb","B"},0)-1)-69)/12),2),""))</f>
        <v/>
      </c>
      <c r="AF181" s="38">
        <f>IF(OR(Q181="",AA181=""),"",IFERROR(ROUND(440*2^((12*(AA181+1)+IFERROR(MATCH(V181,{"C","C#","D","D#","E","F","F#","G","G#","A","A#","B"},0)-1,MATCH(V181,{"C","Db","D","Eb","E","F","Gb","G","Ab","A","Bb","B"},0)-1)-69)/12),2),""))</f>
        <v/>
      </c>
      <c r="AG181" s="36" t="n"/>
      <c r="AH181" s="36" t="n"/>
      <c r="AI181" s="36" t="n"/>
      <c r="AJ181" s="36" t="inlineStr">
        <is>
          <t>Low</t>
        </is>
      </c>
      <c r="AK181" s="36" t="inlineStr">
        <is>
          <t>Low</t>
        </is>
      </c>
      <c r="AL181" s="35" t="n"/>
    </row>
    <row r="182">
      <c r="A182" s="35" t="inlineStr">
        <is>
          <t>TEST_018</t>
        </is>
      </c>
      <c r="B182" s="35" t="n">
        <v>10</v>
      </c>
      <c r="C182" s="36" t="n"/>
      <c r="D182" s="36" t="n"/>
      <c r="E182" s="36" t="n"/>
      <c r="F182" s="36" t="n">
        <v>15.75</v>
      </c>
      <c r="G182" s="36" t="n">
        <v>8.960000000000001</v>
      </c>
      <c r="H182" s="36" t="n"/>
      <c r="I182" s="36" t="n"/>
      <c r="J182" s="36" t="n"/>
      <c r="K182" s="36" t="n">
        <v>15.91</v>
      </c>
      <c r="L182" s="36" t="n">
        <v>9.1</v>
      </c>
      <c r="M182" s="36" t="n"/>
      <c r="N182" s="36" t="n"/>
      <c r="O182" s="36" t="n"/>
      <c r="P182" s="36" t="inlineStr">
        <is>
          <t>C#4</t>
        </is>
      </c>
      <c r="Q182" s="36" t="inlineStr">
        <is>
          <t>G2</t>
        </is>
      </c>
      <c r="R182" s="38">
        <f>IF(M182="","",LEFT(M182,LEN(M182)-1))</f>
        <v/>
      </c>
      <c r="S182" s="38">
        <f>IF(N182="","",LEFT(N182,LEN(N182)-1))</f>
        <v/>
      </c>
      <c r="T182" s="38">
        <f>IF(O182="","",LEFT(O182,LEN(O182)-1))</f>
        <v/>
      </c>
      <c r="U182" s="38">
        <f>IF(P182="","",LEFT(P182,LEN(P182)-1))</f>
        <v/>
      </c>
      <c r="V182" s="38">
        <f>IF(Q182="","",LEFT(Q182,LEN(Q182)-1))</f>
        <v/>
      </c>
      <c r="W182" s="38">
        <f>IF(M182="","",IFERROR(VALUE(RIGHT(M182,1)),""))</f>
        <v/>
      </c>
      <c r="X182" s="38">
        <f>IF(N182="","",IFERROR(VALUE(RIGHT(N182,1)),""))</f>
        <v/>
      </c>
      <c r="Y182" s="38">
        <f>IF(O182="","",IFERROR(VALUE(RIGHT(O182,1)),""))</f>
        <v/>
      </c>
      <c r="Z182" s="38">
        <f>IF(P182="","",IFERROR(VALUE(RIGHT(P182,1)),""))</f>
        <v/>
      </c>
      <c r="AA182" s="38">
        <f>IF(Q182="","",IFERROR(VALUE(RIGHT(Q182,1)),""))</f>
        <v/>
      </c>
      <c r="AB182" s="38">
        <f>IF(OR(M182="",W182=""),"",IFERROR(ROUND(440*2^((12*(W182+1)+IFERROR(MATCH(R182,{"C","C#","D","D#","E","F","F#","G","G#","A","A#","B"},0)-1,MATCH(R182,{"C","Db","D","Eb","E","F","Gb","G","Ab","A","Bb","B"},0)-1)-69)/12),2),""))</f>
        <v/>
      </c>
      <c r="AC182" s="38">
        <f>IF(OR(N182="",X182=""),"",IFERROR(ROUND(440*2^((12*(X182+1)+IFERROR(MATCH(S182,{"C","C#","D","D#","E","F","F#","G","G#","A","A#","B"},0)-1,MATCH(S182,{"C","Db","D","Eb","E","F","Gb","G","Ab","A","Bb","B"},0)-1)-69)/12),2),""))</f>
        <v/>
      </c>
      <c r="AD182" s="38">
        <f>IF(OR(O182="",Y182=""),"",IFERROR(ROUND(440*2^((12*(Y182+1)+IFERROR(MATCH(T182,{"C","C#","D","D#","E","F","F#","G","G#","A","A#","B"},0)-1,MATCH(T182,{"C","Db","D","Eb","E","F","Gb","G","Ab","A","Bb","B"},0)-1)-69)/12),2),""))</f>
        <v/>
      </c>
      <c r="AE182" s="38">
        <f>IF(OR(P182="",Z182=""),"",IFERROR(ROUND(440*2^((12*(Z182+1)+IFERROR(MATCH(U182,{"C","C#","D","D#","E","F","F#","G","G#","A","A#","B"},0)-1,MATCH(U182,{"C","Db","D","Eb","E","F","Gb","G","Ab","A","Bb","B"},0)-1)-69)/12),2),""))</f>
        <v/>
      </c>
      <c r="AF182" s="38">
        <f>IF(OR(Q182="",AA182=""),"",IFERROR(ROUND(440*2^((12*(AA182+1)+IFERROR(MATCH(V182,{"C","C#","D","D#","E","F","F#","G","G#","A","A#","B"},0)-1,MATCH(V182,{"C","Db","D","Eb","E","F","Gb","G","Ab","A","Bb","B"},0)-1)-69)/12),2),""))</f>
        <v/>
      </c>
      <c r="AG182" s="36" t="n"/>
      <c r="AH182" s="36" t="n"/>
      <c r="AI182" s="36" t="n"/>
      <c r="AJ182" s="36" t="inlineStr">
        <is>
          <t>Low</t>
        </is>
      </c>
      <c r="AK182" s="36" t="inlineStr">
        <is>
          <t>Low</t>
        </is>
      </c>
      <c r="AL182" s="35" t="n"/>
    </row>
    <row r="183">
      <c r="A183" s="35" t="inlineStr">
        <is>
          <t>TEST_019</t>
        </is>
      </c>
      <c r="B183" s="35" t="n">
        <v>1</v>
      </c>
      <c r="C183" s="36" t="n"/>
      <c r="D183" s="36" t="n"/>
      <c r="E183" s="36" t="n"/>
      <c r="F183" s="36" t="n">
        <v>0.08</v>
      </c>
      <c r="G183" s="36" t="n">
        <v>0.08</v>
      </c>
      <c r="H183" s="36" t="n"/>
      <c r="I183" s="36" t="n"/>
      <c r="J183" s="36" t="n"/>
      <c r="K183" s="36" t="n">
        <v>0.24</v>
      </c>
      <c r="L183" s="36" t="n">
        <v>0.62</v>
      </c>
      <c r="M183" s="36" t="n"/>
      <c r="N183" s="36" t="inlineStr">
        <is>
          <t>N/A</t>
        </is>
      </c>
      <c r="O183" s="36" t="inlineStr">
        <is>
          <t>N/A</t>
        </is>
      </c>
      <c r="P183" s="36" t="inlineStr">
        <is>
          <t>F3</t>
        </is>
      </c>
      <c r="Q183" s="36" t="inlineStr">
        <is>
          <t>F2</t>
        </is>
      </c>
      <c r="R183" s="38">
        <f>IF(M183="","",LEFT(M183,LEN(M183)-1))</f>
        <v/>
      </c>
      <c r="S183" s="38">
        <f>IF(N183="","",LEFT(N183,LEN(N183)-1))</f>
        <v/>
      </c>
      <c r="T183" s="38">
        <f>IF(O183="","",LEFT(O183,LEN(O183)-1))</f>
        <v/>
      </c>
      <c r="U183" s="38">
        <f>IF(P183="","",LEFT(P183,LEN(P183)-1))</f>
        <v/>
      </c>
      <c r="V183" s="38">
        <f>IF(Q183="","",LEFT(Q183,LEN(Q183)-1))</f>
        <v/>
      </c>
      <c r="W183" s="38">
        <f>IF(M183="","",IFERROR(VALUE(RIGHT(M183,1)),""))</f>
        <v/>
      </c>
      <c r="X183" s="38">
        <f>IF(N183="","",IFERROR(VALUE(RIGHT(N183,1)),""))</f>
        <v/>
      </c>
      <c r="Y183" s="38">
        <f>IF(O183="","",IFERROR(VALUE(RIGHT(O183,1)),""))</f>
        <v/>
      </c>
      <c r="Z183" s="38">
        <f>IF(P183="","",IFERROR(VALUE(RIGHT(P183,1)),""))</f>
        <v/>
      </c>
      <c r="AA183" s="38">
        <f>IF(Q183="","",IFERROR(VALUE(RIGHT(Q183,1)),""))</f>
        <v/>
      </c>
      <c r="AB183" s="38">
        <f>IF(OR(M183="",W183=""),"",IFERROR(ROUND(440*2^((12*(W183+1)+IFERROR(MATCH(R183,{"C","C#","D","D#","E","F","F#","G","G#","A","A#","B"},0)-1,MATCH(R183,{"C","Db","D","Eb","E","F","Gb","G","Ab","A","Bb","B"},0)-1)-69)/12),2),""))</f>
        <v/>
      </c>
      <c r="AC183" s="38">
        <f>IF(OR(N183="",X183=""),"",IFERROR(ROUND(440*2^((12*(X183+1)+IFERROR(MATCH(S183,{"C","C#","D","D#","E","F","F#","G","G#","A","A#","B"},0)-1,MATCH(S183,{"C","Db","D","Eb","E","F","Gb","G","Ab","A","Bb","B"},0)-1)-69)/12),2),""))</f>
        <v/>
      </c>
      <c r="AD183" s="38">
        <f>IF(OR(O183="",Y183=""),"",IFERROR(ROUND(440*2^((12*(Y183+1)+IFERROR(MATCH(T183,{"C","C#","D","D#","E","F","F#","G","G#","A","A#","B"},0)-1,MATCH(T183,{"C","Db","D","Eb","E","F","Gb","G","Ab","A","Bb","B"},0)-1)-69)/12),2),""))</f>
        <v/>
      </c>
      <c r="AE183" s="38">
        <f>IF(OR(P183="",Z183=""),"",IFERROR(ROUND(440*2^((12*(Z183+1)+IFERROR(MATCH(U183,{"C","C#","D","D#","E","F","F#","G","G#","A","A#","B"},0)-1,MATCH(U183,{"C","Db","D","Eb","E","F","Gb","G","Ab","A","Bb","B"},0)-1)-69)/12),2),""))</f>
        <v/>
      </c>
      <c r="AF183" s="38">
        <f>IF(OR(Q183="",AA183=""),"",IFERROR(ROUND(440*2^((12*(AA183+1)+IFERROR(MATCH(V183,{"C","C#","D","D#","E","F","F#","G","G#","A","A#","B"},0)-1,MATCH(V183,{"C","Db","D","Eb","E","F","Gb","G","Ab","A","Bb","B"},0)-1)-69)/12),2),""))</f>
        <v/>
      </c>
      <c r="AG183" s="36" t="n"/>
      <c r="AH183" s="36" t="n"/>
      <c r="AI183" s="36" t="n"/>
      <c r="AJ183" s="36" t="inlineStr">
        <is>
          <t>Low</t>
        </is>
      </c>
      <c r="AK183" s="36" t="inlineStr">
        <is>
          <t>Low</t>
        </is>
      </c>
      <c r="AL18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84">
      <c r="A184" s="35" t="inlineStr">
        <is>
          <t>TEST_019</t>
        </is>
      </c>
      <c r="B184" s="35" t="n">
        <v>2</v>
      </c>
      <c r="C184" s="36" t="n"/>
      <c r="D184" s="36" t="n"/>
      <c r="E184" s="36" t="n"/>
      <c r="F184" s="36" t="n">
        <v>0.41</v>
      </c>
      <c r="G184" s="36" t="n">
        <v>1.3</v>
      </c>
      <c r="H184" s="36" t="n"/>
      <c r="I184" s="36" t="n"/>
      <c r="J184" s="36" t="n"/>
      <c r="K184" s="36" t="n">
        <v>0.6</v>
      </c>
      <c r="L184" s="36" t="n">
        <v>1.57</v>
      </c>
      <c r="M184" s="36" t="n"/>
      <c r="N184" s="36" t="n"/>
      <c r="O184" s="36" t="n"/>
      <c r="P184" s="36" t="inlineStr">
        <is>
          <t>F3</t>
        </is>
      </c>
      <c r="Q184" s="36" t="inlineStr">
        <is>
          <t>F2</t>
        </is>
      </c>
      <c r="R184" s="38">
        <f>IF(M184="","",LEFT(M184,LEN(M184)-1))</f>
        <v/>
      </c>
      <c r="S184" s="38">
        <f>IF(N184="","",LEFT(N184,LEN(N184)-1))</f>
        <v/>
      </c>
      <c r="T184" s="38">
        <f>IF(O184="","",LEFT(O184,LEN(O184)-1))</f>
        <v/>
      </c>
      <c r="U184" s="38">
        <f>IF(P184="","",LEFT(P184,LEN(P184)-1))</f>
        <v/>
      </c>
      <c r="V184" s="38">
        <f>IF(Q184="","",LEFT(Q184,LEN(Q184)-1))</f>
        <v/>
      </c>
      <c r="W184" s="38">
        <f>IF(M184="","",IFERROR(VALUE(RIGHT(M184,1)),""))</f>
        <v/>
      </c>
      <c r="X184" s="38">
        <f>IF(N184="","",IFERROR(VALUE(RIGHT(N184,1)),""))</f>
        <v/>
      </c>
      <c r="Y184" s="38">
        <f>IF(O184="","",IFERROR(VALUE(RIGHT(O184,1)),""))</f>
        <v/>
      </c>
      <c r="Z184" s="38">
        <f>IF(P184="","",IFERROR(VALUE(RIGHT(P184,1)),""))</f>
        <v/>
      </c>
      <c r="AA184" s="38">
        <f>IF(Q184="","",IFERROR(VALUE(RIGHT(Q184,1)),""))</f>
        <v/>
      </c>
      <c r="AB184" s="38">
        <f>IF(OR(M184="",W184=""),"",IFERROR(ROUND(440*2^((12*(W184+1)+IFERROR(MATCH(R184,{"C","C#","D","D#","E","F","F#","G","G#","A","A#","B"},0)-1,MATCH(R184,{"C","Db","D","Eb","E","F","Gb","G","Ab","A","Bb","B"},0)-1)-69)/12),2),""))</f>
        <v/>
      </c>
      <c r="AC184" s="38">
        <f>IF(OR(N184="",X184=""),"",IFERROR(ROUND(440*2^((12*(X184+1)+IFERROR(MATCH(S184,{"C","C#","D","D#","E","F","F#","G","G#","A","A#","B"},0)-1,MATCH(S184,{"C","Db","D","Eb","E","F","Gb","G","Ab","A","Bb","B"},0)-1)-69)/12),2),""))</f>
        <v/>
      </c>
      <c r="AD184" s="38">
        <f>IF(OR(O184="",Y184=""),"",IFERROR(ROUND(440*2^((12*(Y184+1)+IFERROR(MATCH(T184,{"C","C#","D","D#","E","F","F#","G","G#","A","A#","B"},0)-1,MATCH(T184,{"C","Db","D","Eb","E","F","Gb","G","Ab","A","Bb","B"},0)-1)-69)/12),2),""))</f>
        <v/>
      </c>
      <c r="AE184" s="38">
        <f>IF(OR(P184="",Z184=""),"",IFERROR(ROUND(440*2^((12*(Z184+1)+IFERROR(MATCH(U184,{"C","C#","D","D#","E","F","F#","G","G#","A","A#","B"},0)-1,MATCH(U184,{"C","Db","D","Eb","E","F","Gb","G","Ab","A","Bb","B"},0)-1)-69)/12),2),""))</f>
        <v/>
      </c>
      <c r="AF184" s="38">
        <f>IF(OR(Q184="",AA184=""),"",IFERROR(ROUND(440*2^((12*(AA184+1)+IFERROR(MATCH(V184,{"C","C#","D","D#","E","F","F#","G","G#","A","A#","B"},0)-1,MATCH(V184,{"C","Db","D","Eb","E","F","Gb","G","Ab","A","Bb","B"},0)-1)-69)/12),2),""))</f>
        <v/>
      </c>
      <c r="AG184" s="36" t="n"/>
      <c r="AH184" s="36" t="n"/>
      <c r="AI184" s="36" t="n"/>
      <c r="AJ184" s="36" t="inlineStr">
        <is>
          <t>Low</t>
        </is>
      </c>
      <c r="AK184" s="36" t="inlineStr">
        <is>
          <t>Low</t>
        </is>
      </c>
      <c r="AL184" s="35" t="n"/>
    </row>
    <row r="185">
      <c r="A185" s="35" t="inlineStr">
        <is>
          <t>TEST_019</t>
        </is>
      </c>
      <c r="B185" s="35" t="n">
        <v>3</v>
      </c>
      <c r="C185" s="36" t="n"/>
      <c r="D185" s="36" t="n"/>
      <c r="E185" s="36" t="n"/>
      <c r="F185" s="36" t="n">
        <v>0.67</v>
      </c>
      <c r="G185" s="36" t="n">
        <v>2.02</v>
      </c>
      <c r="H185" s="36" t="n"/>
      <c r="I185" s="36" t="n"/>
      <c r="J185" s="36" t="n"/>
      <c r="K185" s="36" t="n">
        <v>0.89</v>
      </c>
      <c r="L185" s="36" t="n">
        <v>2.87</v>
      </c>
      <c r="M185" s="36" t="n"/>
      <c r="N185" s="36" t="n"/>
      <c r="O185" s="36" t="n"/>
      <c r="P185" s="36" t="inlineStr">
        <is>
          <t>C#4</t>
        </is>
      </c>
      <c r="Q185" s="36" t="inlineStr">
        <is>
          <t>F2</t>
        </is>
      </c>
      <c r="R185" s="38">
        <f>IF(M185="","",LEFT(M185,LEN(M185)-1))</f>
        <v/>
      </c>
      <c r="S185" s="38">
        <f>IF(N185="","",LEFT(N185,LEN(N185)-1))</f>
        <v/>
      </c>
      <c r="T185" s="38">
        <f>IF(O185="","",LEFT(O185,LEN(O185)-1))</f>
        <v/>
      </c>
      <c r="U185" s="38">
        <f>IF(P185="","",LEFT(P185,LEN(P185)-1))</f>
        <v/>
      </c>
      <c r="V185" s="38">
        <f>IF(Q185="","",LEFT(Q185,LEN(Q185)-1))</f>
        <v/>
      </c>
      <c r="W185" s="38">
        <f>IF(M185="","",IFERROR(VALUE(RIGHT(M185,1)),""))</f>
        <v/>
      </c>
      <c r="X185" s="38">
        <f>IF(N185="","",IFERROR(VALUE(RIGHT(N185,1)),""))</f>
        <v/>
      </c>
      <c r="Y185" s="38">
        <f>IF(O185="","",IFERROR(VALUE(RIGHT(O185,1)),""))</f>
        <v/>
      </c>
      <c r="Z185" s="38">
        <f>IF(P185="","",IFERROR(VALUE(RIGHT(P185,1)),""))</f>
        <v/>
      </c>
      <c r="AA185" s="38">
        <f>IF(Q185="","",IFERROR(VALUE(RIGHT(Q185,1)),""))</f>
        <v/>
      </c>
      <c r="AB185" s="38">
        <f>IF(OR(M185="",W185=""),"",IFERROR(ROUND(440*2^((12*(W185+1)+IFERROR(MATCH(R185,{"C","C#","D","D#","E","F","F#","G","G#","A","A#","B"},0)-1,MATCH(R185,{"C","Db","D","Eb","E","F","Gb","G","Ab","A","Bb","B"},0)-1)-69)/12),2),""))</f>
        <v/>
      </c>
      <c r="AC185" s="38">
        <f>IF(OR(N185="",X185=""),"",IFERROR(ROUND(440*2^((12*(X185+1)+IFERROR(MATCH(S185,{"C","C#","D","D#","E","F","F#","G","G#","A","A#","B"},0)-1,MATCH(S185,{"C","Db","D","Eb","E","F","Gb","G","Ab","A","Bb","B"},0)-1)-69)/12),2),""))</f>
        <v/>
      </c>
      <c r="AD185" s="38">
        <f>IF(OR(O185="",Y185=""),"",IFERROR(ROUND(440*2^((12*(Y185+1)+IFERROR(MATCH(T185,{"C","C#","D","D#","E","F","F#","G","G#","A","A#","B"},0)-1,MATCH(T185,{"C","Db","D","Eb","E","F","Gb","G","Ab","A","Bb","B"},0)-1)-69)/12),2),""))</f>
        <v/>
      </c>
      <c r="AE185" s="38">
        <f>IF(OR(P185="",Z185=""),"",IFERROR(ROUND(440*2^((12*(Z185+1)+IFERROR(MATCH(U185,{"C","C#","D","D#","E","F","F#","G","G#","A","A#","B"},0)-1,MATCH(U185,{"C","Db","D","Eb","E","F","Gb","G","Ab","A","Bb","B"},0)-1)-69)/12),2),""))</f>
        <v/>
      </c>
      <c r="AF185" s="38">
        <f>IF(OR(Q185="",AA185=""),"",IFERROR(ROUND(440*2^((12*(AA185+1)+IFERROR(MATCH(V185,{"C","C#","D","D#","E","F","F#","G","G#","A","A#","B"},0)-1,MATCH(V185,{"C","Db","D","Eb","E","F","Gb","G","Ab","A","Bb","B"},0)-1)-69)/12),2),""))</f>
        <v/>
      </c>
      <c r="AG185" s="36" t="n"/>
      <c r="AH185" s="36" t="n"/>
      <c r="AI185" s="36" t="n"/>
      <c r="AJ185" s="36" t="inlineStr">
        <is>
          <t>Low</t>
        </is>
      </c>
      <c r="AK185" s="36" t="inlineStr">
        <is>
          <t>Low</t>
        </is>
      </c>
      <c r="AL185" s="35" t="n"/>
    </row>
    <row r="186">
      <c r="A186" s="35" t="inlineStr">
        <is>
          <t>TEST_019</t>
        </is>
      </c>
      <c r="B186" s="35" t="n">
        <v>4</v>
      </c>
      <c r="C186" s="36" t="n"/>
      <c r="D186" s="36" t="n"/>
      <c r="E186" s="36" t="n"/>
      <c r="F186" s="36" t="n">
        <v>1.11</v>
      </c>
      <c r="G186" s="36" t="n">
        <v>2.91</v>
      </c>
      <c r="H186" s="36" t="n"/>
      <c r="I186" s="36" t="n"/>
      <c r="J186" s="36" t="n"/>
      <c r="K186" s="36" t="n">
        <v>1.58</v>
      </c>
      <c r="L186" s="36" t="n">
        <v>3.05</v>
      </c>
      <c r="M186" s="36" t="n"/>
      <c r="N186" s="36" t="n"/>
      <c r="O186" s="36" t="n"/>
      <c r="P186" s="36" t="inlineStr">
        <is>
          <t>F3</t>
        </is>
      </c>
      <c r="Q186" s="36" t="inlineStr">
        <is>
          <t>F2</t>
        </is>
      </c>
      <c r="R186" s="38">
        <f>IF(M186="","",LEFT(M186,LEN(M186)-1))</f>
        <v/>
      </c>
      <c r="S186" s="38">
        <f>IF(N186="","",LEFT(N186,LEN(N186)-1))</f>
        <v/>
      </c>
      <c r="T186" s="38">
        <f>IF(O186="","",LEFT(O186,LEN(O186)-1))</f>
        <v/>
      </c>
      <c r="U186" s="38">
        <f>IF(P186="","",LEFT(P186,LEN(P186)-1))</f>
        <v/>
      </c>
      <c r="V186" s="38">
        <f>IF(Q186="","",LEFT(Q186,LEN(Q186)-1))</f>
        <v/>
      </c>
      <c r="W186" s="38">
        <f>IF(M186="","",IFERROR(VALUE(RIGHT(M186,1)),""))</f>
        <v/>
      </c>
      <c r="X186" s="38">
        <f>IF(N186="","",IFERROR(VALUE(RIGHT(N186,1)),""))</f>
        <v/>
      </c>
      <c r="Y186" s="38">
        <f>IF(O186="","",IFERROR(VALUE(RIGHT(O186,1)),""))</f>
        <v/>
      </c>
      <c r="Z186" s="38">
        <f>IF(P186="","",IFERROR(VALUE(RIGHT(P186,1)),""))</f>
        <v/>
      </c>
      <c r="AA186" s="38">
        <f>IF(Q186="","",IFERROR(VALUE(RIGHT(Q186,1)),""))</f>
        <v/>
      </c>
      <c r="AB186" s="38">
        <f>IF(OR(M186="",W186=""),"",IFERROR(ROUND(440*2^((12*(W186+1)+IFERROR(MATCH(R186,{"C","C#","D","D#","E","F","F#","G","G#","A","A#","B"},0)-1,MATCH(R186,{"C","Db","D","Eb","E","F","Gb","G","Ab","A","Bb","B"},0)-1)-69)/12),2),""))</f>
        <v/>
      </c>
      <c r="AC186" s="38">
        <f>IF(OR(N186="",X186=""),"",IFERROR(ROUND(440*2^((12*(X186+1)+IFERROR(MATCH(S186,{"C","C#","D","D#","E","F","F#","G","G#","A","A#","B"},0)-1,MATCH(S186,{"C","Db","D","Eb","E","F","Gb","G","Ab","A","Bb","B"},0)-1)-69)/12),2),""))</f>
        <v/>
      </c>
      <c r="AD186" s="38">
        <f>IF(OR(O186="",Y186=""),"",IFERROR(ROUND(440*2^((12*(Y186+1)+IFERROR(MATCH(T186,{"C","C#","D","D#","E","F","F#","G","G#","A","A#","B"},0)-1,MATCH(T186,{"C","Db","D","Eb","E","F","Gb","G","Ab","A","Bb","B"},0)-1)-69)/12),2),""))</f>
        <v/>
      </c>
      <c r="AE186" s="38">
        <f>IF(OR(P186="",Z186=""),"",IFERROR(ROUND(440*2^((12*(Z186+1)+IFERROR(MATCH(U186,{"C","C#","D","D#","E","F","F#","G","G#","A","A#","B"},0)-1,MATCH(U186,{"C","Db","D","Eb","E","F","Gb","G","Ab","A","Bb","B"},0)-1)-69)/12),2),""))</f>
        <v/>
      </c>
      <c r="AF186" s="38">
        <f>IF(OR(Q186="",AA186=""),"",IFERROR(ROUND(440*2^((12*(AA186+1)+IFERROR(MATCH(V186,{"C","C#","D","D#","E","F","F#","G","G#","A","A#","B"},0)-1,MATCH(V186,{"C","Db","D","Eb","E","F","Gb","G","Ab","A","Bb","B"},0)-1)-69)/12),2),""))</f>
        <v/>
      </c>
      <c r="AG186" s="36" t="n"/>
      <c r="AH186" s="36" t="n"/>
      <c r="AI186" s="36" t="n"/>
      <c r="AJ186" s="36" t="inlineStr">
        <is>
          <t>Low</t>
        </is>
      </c>
      <c r="AK186" s="36" t="inlineStr">
        <is>
          <t>Low</t>
        </is>
      </c>
      <c r="AL186" s="35" t="n"/>
    </row>
    <row r="187">
      <c r="A187" s="35" t="inlineStr">
        <is>
          <t>TEST_019</t>
        </is>
      </c>
      <c r="B187" s="35" t="n">
        <v>5</v>
      </c>
      <c r="C187" s="36" t="n"/>
      <c r="D187" s="36" t="n"/>
      <c r="E187" s="36" t="n"/>
      <c r="F187" s="36" t="n">
        <v>4.09</v>
      </c>
      <c r="G187" s="36" t="n">
        <v>3.1</v>
      </c>
      <c r="H187" s="36" t="n"/>
      <c r="I187" s="36" t="n"/>
      <c r="J187" s="36" t="n"/>
      <c r="K187" s="36" t="n">
        <v>4.43</v>
      </c>
      <c r="L187" s="36" t="n">
        <v>3.45</v>
      </c>
      <c r="M187" s="36" t="n"/>
      <c r="N187" s="36" t="n"/>
      <c r="O187" s="36" t="n"/>
      <c r="P187" s="36" t="inlineStr">
        <is>
          <t>A4</t>
        </is>
      </c>
      <c r="Q187" s="36" t="inlineStr">
        <is>
          <t>F2</t>
        </is>
      </c>
      <c r="R187" s="38">
        <f>IF(M187="","",LEFT(M187,LEN(M187)-1))</f>
        <v/>
      </c>
      <c r="S187" s="38">
        <f>IF(N187="","",LEFT(N187,LEN(N187)-1))</f>
        <v/>
      </c>
      <c r="T187" s="38">
        <f>IF(O187="","",LEFT(O187,LEN(O187)-1))</f>
        <v/>
      </c>
      <c r="U187" s="38">
        <f>IF(P187="","",LEFT(P187,LEN(P187)-1))</f>
        <v/>
      </c>
      <c r="V187" s="38">
        <f>IF(Q187="","",LEFT(Q187,LEN(Q187)-1))</f>
        <v/>
      </c>
      <c r="W187" s="38">
        <f>IF(M187="","",IFERROR(VALUE(RIGHT(M187,1)),""))</f>
        <v/>
      </c>
      <c r="X187" s="38">
        <f>IF(N187="","",IFERROR(VALUE(RIGHT(N187,1)),""))</f>
        <v/>
      </c>
      <c r="Y187" s="38">
        <f>IF(O187="","",IFERROR(VALUE(RIGHT(O187,1)),""))</f>
        <v/>
      </c>
      <c r="Z187" s="38">
        <f>IF(P187="","",IFERROR(VALUE(RIGHT(P187,1)),""))</f>
        <v/>
      </c>
      <c r="AA187" s="38">
        <f>IF(Q187="","",IFERROR(VALUE(RIGHT(Q187,1)),""))</f>
        <v/>
      </c>
      <c r="AB187" s="38">
        <f>IF(OR(M187="",W187=""),"",IFERROR(ROUND(440*2^((12*(W187+1)+IFERROR(MATCH(R187,{"C","C#","D","D#","E","F","F#","G","G#","A","A#","B"},0)-1,MATCH(R187,{"C","Db","D","Eb","E","F","Gb","G","Ab","A","Bb","B"},0)-1)-69)/12),2),""))</f>
        <v/>
      </c>
      <c r="AC187" s="38">
        <f>IF(OR(N187="",X187=""),"",IFERROR(ROUND(440*2^((12*(X187+1)+IFERROR(MATCH(S187,{"C","C#","D","D#","E","F","F#","G","G#","A","A#","B"},0)-1,MATCH(S187,{"C","Db","D","Eb","E","F","Gb","G","Ab","A","Bb","B"},0)-1)-69)/12),2),""))</f>
        <v/>
      </c>
      <c r="AD187" s="38">
        <f>IF(OR(O187="",Y187=""),"",IFERROR(ROUND(440*2^((12*(Y187+1)+IFERROR(MATCH(T187,{"C","C#","D","D#","E","F","F#","G","G#","A","A#","B"},0)-1,MATCH(T187,{"C","Db","D","Eb","E","F","Gb","G","Ab","A","Bb","B"},0)-1)-69)/12),2),""))</f>
        <v/>
      </c>
      <c r="AE187" s="38">
        <f>IF(OR(P187="",Z187=""),"",IFERROR(ROUND(440*2^((12*(Z187+1)+IFERROR(MATCH(U187,{"C","C#","D","D#","E","F","F#","G","G#","A","A#","B"},0)-1,MATCH(U187,{"C","Db","D","Eb","E","F","Gb","G","Ab","A","Bb","B"},0)-1)-69)/12),2),""))</f>
        <v/>
      </c>
      <c r="AF187" s="38">
        <f>IF(OR(Q187="",AA187=""),"",IFERROR(ROUND(440*2^((12*(AA187+1)+IFERROR(MATCH(V187,{"C","C#","D","D#","E","F","F#","G","G#","A","A#","B"},0)-1,MATCH(V187,{"C","Db","D","Eb","E","F","Gb","G","Ab","A","Bb","B"},0)-1)-69)/12),2),""))</f>
        <v/>
      </c>
      <c r="AG187" s="36" t="n"/>
      <c r="AH187" s="36" t="n"/>
      <c r="AI187" s="36" t="n"/>
      <c r="AJ187" s="36" t="inlineStr">
        <is>
          <t>Low</t>
        </is>
      </c>
      <c r="AK187" s="36" t="inlineStr">
        <is>
          <t>Low</t>
        </is>
      </c>
      <c r="AL187" s="35" t="n"/>
    </row>
    <row r="188">
      <c r="A188" s="35" t="inlineStr">
        <is>
          <t>TEST_019</t>
        </is>
      </c>
      <c r="B188" s="35" t="n">
        <v>6</v>
      </c>
      <c r="C188" s="36" t="n"/>
      <c r="D188" s="36" t="n"/>
      <c r="E188" s="36" t="n"/>
      <c r="F188" s="36" t="n">
        <v>4.55</v>
      </c>
      <c r="G188" s="36" t="n">
        <v>4.06</v>
      </c>
      <c r="H188" s="36" t="n"/>
      <c r="I188" s="36" t="n"/>
      <c r="J188" s="36" t="n"/>
      <c r="K188" s="36" t="n">
        <v>4.87</v>
      </c>
      <c r="L188" s="36" t="n">
        <v>4.3</v>
      </c>
      <c r="M188" s="36" t="n"/>
      <c r="N188" s="36" t="n"/>
      <c r="O188" s="36" t="n"/>
      <c r="P188" s="36" t="inlineStr">
        <is>
          <t>F#4</t>
        </is>
      </c>
      <c r="Q188" s="36" t="inlineStr">
        <is>
          <t>A2</t>
        </is>
      </c>
      <c r="R188" s="38">
        <f>IF(M188="","",LEFT(M188,LEN(M188)-1))</f>
        <v/>
      </c>
      <c r="S188" s="38">
        <f>IF(N188="","",LEFT(N188,LEN(N188)-1))</f>
        <v/>
      </c>
      <c r="T188" s="38">
        <f>IF(O188="","",LEFT(O188,LEN(O188)-1))</f>
        <v/>
      </c>
      <c r="U188" s="38">
        <f>IF(P188="","",LEFT(P188,LEN(P188)-1))</f>
        <v/>
      </c>
      <c r="V188" s="38">
        <f>IF(Q188="","",LEFT(Q188,LEN(Q188)-1))</f>
        <v/>
      </c>
      <c r="W188" s="38">
        <f>IF(M188="","",IFERROR(VALUE(RIGHT(M188,1)),""))</f>
        <v/>
      </c>
      <c r="X188" s="38">
        <f>IF(N188="","",IFERROR(VALUE(RIGHT(N188,1)),""))</f>
        <v/>
      </c>
      <c r="Y188" s="38">
        <f>IF(O188="","",IFERROR(VALUE(RIGHT(O188,1)),""))</f>
        <v/>
      </c>
      <c r="Z188" s="38">
        <f>IF(P188="","",IFERROR(VALUE(RIGHT(P188,1)),""))</f>
        <v/>
      </c>
      <c r="AA188" s="38">
        <f>IF(Q188="","",IFERROR(VALUE(RIGHT(Q188,1)),""))</f>
        <v/>
      </c>
      <c r="AB188" s="38">
        <f>IF(OR(M188="",W188=""),"",IFERROR(ROUND(440*2^((12*(W188+1)+IFERROR(MATCH(R188,{"C","C#","D","D#","E","F","F#","G","G#","A","A#","B"},0)-1,MATCH(R188,{"C","Db","D","Eb","E","F","Gb","G","Ab","A","Bb","B"},0)-1)-69)/12),2),""))</f>
        <v/>
      </c>
      <c r="AC188" s="38">
        <f>IF(OR(N188="",X188=""),"",IFERROR(ROUND(440*2^((12*(X188+1)+IFERROR(MATCH(S188,{"C","C#","D","D#","E","F","F#","G","G#","A","A#","B"},0)-1,MATCH(S188,{"C","Db","D","Eb","E","F","Gb","G","Ab","A","Bb","B"},0)-1)-69)/12),2),""))</f>
        <v/>
      </c>
      <c r="AD188" s="38">
        <f>IF(OR(O188="",Y188=""),"",IFERROR(ROUND(440*2^((12*(Y188+1)+IFERROR(MATCH(T188,{"C","C#","D","D#","E","F","F#","G","G#","A","A#","B"},0)-1,MATCH(T188,{"C","Db","D","Eb","E","F","Gb","G","Ab","A","Bb","B"},0)-1)-69)/12),2),""))</f>
        <v/>
      </c>
      <c r="AE188" s="38">
        <f>IF(OR(P188="",Z188=""),"",IFERROR(ROUND(440*2^((12*(Z188+1)+IFERROR(MATCH(U188,{"C","C#","D","D#","E","F","F#","G","G#","A","A#","B"},0)-1,MATCH(U188,{"C","Db","D","Eb","E","F","Gb","G","Ab","A","Bb","B"},0)-1)-69)/12),2),""))</f>
        <v/>
      </c>
      <c r="AF188" s="38">
        <f>IF(OR(Q188="",AA188=""),"",IFERROR(ROUND(440*2^((12*(AA188+1)+IFERROR(MATCH(V188,{"C","C#","D","D#","E","F","F#","G","G#","A","A#","B"},0)-1,MATCH(V188,{"C","Db","D","Eb","E","F","Gb","G","Ab","A","Bb","B"},0)-1)-69)/12),2),""))</f>
        <v/>
      </c>
      <c r="AG188" s="36" t="n"/>
      <c r="AH188" s="36" t="n"/>
      <c r="AI188" s="36" t="n"/>
      <c r="AJ188" s="36" t="inlineStr">
        <is>
          <t>Low</t>
        </is>
      </c>
      <c r="AK188" s="36" t="inlineStr">
        <is>
          <t>Low</t>
        </is>
      </c>
      <c r="AL188" s="35" t="n"/>
    </row>
    <row r="189">
      <c r="A189" s="35" t="inlineStr">
        <is>
          <t>TEST_019</t>
        </is>
      </c>
      <c r="B189" s="35" t="n">
        <v>7</v>
      </c>
      <c r="C189" s="36" t="n"/>
      <c r="D189" s="36" t="n"/>
      <c r="E189" s="36" t="n"/>
      <c r="F189" s="36" t="n">
        <v>5.56</v>
      </c>
      <c r="G189" s="36" t="n">
        <v>6.07</v>
      </c>
      <c r="H189" s="36" t="n"/>
      <c r="I189" s="36" t="n"/>
      <c r="J189" s="36" t="n"/>
      <c r="K189" s="36" t="n">
        <v>5.86</v>
      </c>
      <c r="L189" s="36" t="n">
        <v>6.27</v>
      </c>
      <c r="M189" s="36" t="n"/>
      <c r="N189" s="36" t="n"/>
      <c r="O189" s="36" t="n"/>
      <c r="P189" s="36" t="inlineStr">
        <is>
          <t>A#3</t>
        </is>
      </c>
      <c r="Q189" s="36" t="inlineStr">
        <is>
          <t>G#2</t>
        </is>
      </c>
      <c r="R189" s="38">
        <f>IF(M189="","",LEFT(M189,LEN(M189)-1))</f>
        <v/>
      </c>
      <c r="S189" s="38">
        <f>IF(N189="","",LEFT(N189,LEN(N189)-1))</f>
        <v/>
      </c>
      <c r="T189" s="38">
        <f>IF(O189="","",LEFT(O189,LEN(O189)-1))</f>
        <v/>
      </c>
      <c r="U189" s="38">
        <f>IF(P189="","",LEFT(P189,LEN(P189)-1))</f>
        <v/>
      </c>
      <c r="V189" s="38">
        <f>IF(Q189="","",LEFT(Q189,LEN(Q189)-1))</f>
        <v/>
      </c>
      <c r="W189" s="38">
        <f>IF(M189="","",IFERROR(VALUE(RIGHT(M189,1)),""))</f>
        <v/>
      </c>
      <c r="X189" s="38">
        <f>IF(N189="","",IFERROR(VALUE(RIGHT(N189,1)),""))</f>
        <v/>
      </c>
      <c r="Y189" s="38">
        <f>IF(O189="","",IFERROR(VALUE(RIGHT(O189,1)),""))</f>
        <v/>
      </c>
      <c r="Z189" s="38">
        <f>IF(P189="","",IFERROR(VALUE(RIGHT(P189,1)),""))</f>
        <v/>
      </c>
      <c r="AA189" s="38">
        <f>IF(Q189="","",IFERROR(VALUE(RIGHT(Q189,1)),""))</f>
        <v/>
      </c>
      <c r="AB189" s="38">
        <f>IF(OR(M189="",W189=""),"",IFERROR(ROUND(440*2^((12*(W189+1)+IFERROR(MATCH(R189,{"C","C#","D","D#","E","F","F#","G","G#","A","A#","B"},0)-1,MATCH(R189,{"C","Db","D","Eb","E","F","Gb","G","Ab","A","Bb","B"},0)-1)-69)/12),2),""))</f>
        <v/>
      </c>
      <c r="AC189" s="38">
        <f>IF(OR(N189="",X189=""),"",IFERROR(ROUND(440*2^((12*(X189+1)+IFERROR(MATCH(S189,{"C","C#","D","D#","E","F","F#","G","G#","A","A#","B"},0)-1,MATCH(S189,{"C","Db","D","Eb","E","F","Gb","G","Ab","A","Bb","B"},0)-1)-69)/12),2),""))</f>
        <v/>
      </c>
      <c r="AD189" s="38">
        <f>IF(OR(O189="",Y189=""),"",IFERROR(ROUND(440*2^((12*(Y189+1)+IFERROR(MATCH(T189,{"C","C#","D","D#","E","F","F#","G","G#","A","A#","B"},0)-1,MATCH(T189,{"C","Db","D","Eb","E","F","Gb","G","Ab","A","Bb","B"},0)-1)-69)/12),2),""))</f>
        <v/>
      </c>
      <c r="AE189" s="38">
        <f>IF(OR(P189="",Z189=""),"",IFERROR(ROUND(440*2^((12*(Z189+1)+IFERROR(MATCH(U189,{"C","C#","D","D#","E","F","F#","G","G#","A","A#","B"},0)-1,MATCH(U189,{"C","Db","D","Eb","E","F","Gb","G","Ab","A","Bb","B"},0)-1)-69)/12),2),""))</f>
        <v/>
      </c>
      <c r="AF189" s="38">
        <f>IF(OR(Q189="",AA189=""),"",IFERROR(ROUND(440*2^((12*(AA189+1)+IFERROR(MATCH(V189,{"C","C#","D","D#","E","F","F#","G","G#","A","A#","B"},0)-1,MATCH(V189,{"C","Db","D","Eb","E","F","Gb","G","Ab","A","Bb","B"},0)-1)-69)/12),2),""))</f>
        <v/>
      </c>
      <c r="AG189" s="36" t="n"/>
      <c r="AH189" s="36" t="n"/>
      <c r="AI189" s="36" t="n"/>
      <c r="AJ189" s="36" t="inlineStr">
        <is>
          <t>Low</t>
        </is>
      </c>
      <c r="AK189" s="36" t="inlineStr">
        <is>
          <t>Low</t>
        </is>
      </c>
      <c r="AL189" s="35" t="n"/>
    </row>
    <row r="190">
      <c r="A190" s="35" t="inlineStr">
        <is>
          <t>TEST_019</t>
        </is>
      </c>
      <c r="B190" s="35" t="n">
        <v>8</v>
      </c>
      <c r="C190" s="36" t="n"/>
      <c r="D190" s="36" t="n"/>
      <c r="E190" s="36" t="n"/>
      <c r="F190" s="36" t="n">
        <v>6.09</v>
      </c>
      <c r="G190" s="36" t="n">
        <v>6.34</v>
      </c>
      <c r="H190" s="36" t="n"/>
      <c r="I190" s="36" t="n"/>
      <c r="J190" s="36" t="n"/>
      <c r="K190" s="36" t="n">
        <v>6.34</v>
      </c>
      <c r="L190" s="36" t="n">
        <v>6.52</v>
      </c>
      <c r="M190" s="36" t="n"/>
      <c r="N190" s="36" t="n"/>
      <c r="O190" s="36" t="n"/>
      <c r="P190" s="36" t="inlineStr">
        <is>
          <t>D#5</t>
        </is>
      </c>
      <c r="Q190" s="36" t="inlineStr">
        <is>
          <t>G2</t>
        </is>
      </c>
      <c r="R190" s="38">
        <f>IF(M190="","",LEFT(M190,LEN(M190)-1))</f>
        <v/>
      </c>
      <c r="S190" s="38">
        <f>IF(N190="","",LEFT(N190,LEN(N190)-1))</f>
        <v/>
      </c>
      <c r="T190" s="38">
        <f>IF(O190="","",LEFT(O190,LEN(O190)-1))</f>
        <v/>
      </c>
      <c r="U190" s="38">
        <f>IF(P190="","",LEFT(P190,LEN(P190)-1))</f>
        <v/>
      </c>
      <c r="V190" s="38">
        <f>IF(Q190="","",LEFT(Q190,LEN(Q190)-1))</f>
        <v/>
      </c>
      <c r="W190" s="38">
        <f>IF(M190="","",IFERROR(VALUE(RIGHT(M190,1)),""))</f>
        <v/>
      </c>
      <c r="X190" s="38">
        <f>IF(N190="","",IFERROR(VALUE(RIGHT(N190,1)),""))</f>
        <v/>
      </c>
      <c r="Y190" s="38">
        <f>IF(O190="","",IFERROR(VALUE(RIGHT(O190,1)),""))</f>
        <v/>
      </c>
      <c r="Z190" s="38">
        <f>IF(P190="","",IFERROR(VALUE(RIGHT(P190,1)),""))</f>
        <v/>
      </c>
      <c r="AA190" s="38">
        <f>IF(Q190="","",IFERROR(VALUE(RIGHT(Q190,1)),""))</f>
        <v/>
      </c>
      <c r="AB190" s="38">
        <f>IF(OR(M190="",W190=""),"",IFERROR(ROUND(440*2^((12*(W190+1)+IFERROR(MATCH(R190,{"C","C#","D","D#","E","F","F#","G","G#","A","A#","B"},0)-1,MATCH(R190,{"C","Db","D","Eb","E","F","Gb","G","Ab","A","Bb","B"},0)-1)-69)/12),2),""))</f>
        <v/>
      </c>
      <c r="AC190" s="38">
        <f>IF(OR(N190="",X190=""),"",IFERROR(ROUND(440*2^((12*(X190+1)+IFERROR(MATCH(S190,{"C","C#","D","D#","E","F","F#","G","G#","A","A#","B"},0)-1,MATCH(S190,{"C","Db","D","Eb","E","F","Gb","G","Ab","A","Bb","B"},0)-1)-69)/12),2),""))</f>
        <v/>
      </c>
      <c r="AD190" s="38">
        <f>IF(OR(O190="",Y190=""),"",IFERROR(ROUND(440*2^((12*(Y190+1)+IFERROR(MATCH(T190,{"C","C#","D","D#","E","F","F#","G","G#","A","A#","B"},0)-1,MATCH(T190,{"C","Db","D","Eb","E","F","Gb","G","Ab","A","Bb","B"},0)-1)-69)/12),2),""))</f>
        <v/>
      </c>
      <c r="AE190" s="38">
        <f>IF(OR(P190="",Z190=""),"",IFERROR(ROUND(440*2^((12*(Z190+1)+IFERROR(MATCH(U190,{"C","C#","D","D#","E","F","F#","G","G#","A","A#","B"},0)-1,MATCH(U190,{"C","Db","D","Eb","E","F","Gb","G","Ab","A","Bb","B"},0)-1)-69)/12),2),""))</f>
        <v/>
      </c>
      <c r="AF190" s="38">
        <f>IF(OR(Q190="",AA190=""),"",IFERROR(ROUND(440*2^((12*(AA190+1)+IFERROR(MATCH(V190,{"C","C#","D","D#","E","F","F#","G","G#","A","A#","B"},0)-1,MATCH(V190,{"C","Db","D","Eb","E","F","Gb","G","Ab","A","Bb","B"},0)-1)-69)/12),2),""))</f>
        <v/>
      </c>
      <c r="AG190" s="36" t="n"/>
      <c r="AH190" s="36" t="n"/>
      <c r="AI190" s="36" t="n"/>
      <c r="AJ190" s="36" t="inlineStr">
        <is>
          <t>Low</t>
        </is>
      </c>
      <c r="AK190" s="36" t="inlineStr">
        <is>
          <t>Low</t>
        </is>
      </c>
      <c r="AL190" s="35" t="n"/>
    </row>
    <row r="191">
      <c r="A191" s="35" t="inlineStr">
        <is>
          <t>TEST_019</t>
        </is>
      </c>
      <c r="B191" s="35" t="n">
        <v>9</v>
      </c>
      <c r="C191" s="36" t="n"/>
      <c r="D191" s="36" t="n"/>
      <c r="E191" s="36" t="n"/>
      <c r="F191" s="36" t="n">
        <v>6.34</v>
      </c>
      <c r="G191" s="36" t="n">
        <v>7.09</v>
      </c>
      <c r="H191" s="36" t="n"/>
      <c r="I191" s="36" t="n"/>
      <c r="J191" s="36" t="n"/>
      <c r="K191" s="36" t="n">
        <v>6.52</v>
      </c>
      <c r="L191" s="36" t="n">
        <v>7.56</v>
      </c>
      <c r="M191" s="36" t="n"/>
      <c r="N191" s="36" t="n"/>
      <c r="O191" s="36" t="n"/>
      <c r="P191" s="36" t="inlineStr">
        <is>
          <t>G4</t>
        </is>
      </c>
      <c r="Q191" s="36" t="inlineStr">
        <is>
          <t>G2</t>
        </is>
      </c>
      <c r="R191" s="38">
        <f>IF(M191="","",LEFT(M191,LEN(M191)-1))</f>
        <v/>
      </c>
      <c r="S191" s="38">
        <f>IF(N191="","",LEFT(N191,LEN(N191)-1))</f>
        <v/>
      </c>
      <c r="T191" s="38">
        <f>IF(O191="","",LEFT(O191,LEN(O191)-1))</f>
        <v/>
      </c>
      <c r="U191" s="38">
        <f>IF(P191="","",LEFT(P191,LEN(P191)-1))</f>
        <v/>
      </c>
      <c r="V191" s="38">
        <f>IF(Q191="","",LEFT(Q191,LEN(Q191)-1))</f>
        <v/>
      </c>
      <c r="W191" s="38">
        <f>IF(M191="","",IFERROR(VALUE(RIGHT(M191,1)),""))</f>
        <v/>
      </c>
      <c r="X191" s="38">
        <f>IF(N191="","",IFERROR(VALUE(RIGHT(N191,1)),""))</f>
        <v/>
      </c>
      <c r="Y191" s="38">
        <f>IF(O191="","",IFERROR(VALUE(RIGHT(O191,1)),""))</f>
        <v/>
      </c>
      <c r="Z191" s="38">
        <f>IF(P191="","",IFERROR(VALUE(RIGHT(P191,1)),""))</f>
        <v/>
      </c>
      <c r="AA191" s="38">
        <f>IF(Q191="","",IFERROR(VALUE(RIGHT(Q191,1)),""))</f>
        <v/>
      </c>
      <c r="AB191" s="38">
        <f>IF(OR(M191="",W191=""),"",IFERROR(ROUND(440*2^((12*(W191+1)+IFERROR(MATCH(R191,{"C","C#","D","D#","E","F","F#","G","G#","A","A#","B"},0)-1,MATCH(R191,{"C","Db","D","Eb","E","F","Gb","G","Ab","A","Bb","B"},0)-1)-69)/12),2),""))</f>
        <v/>
      </c>
      <c r="AC191" s="38">
        <f>IF(OR(N191="",X191=""),"",IFERROR(ROUND(440*2^((12*(X191+1)+IFERROR(MATCH(S191,{"C","C#","D","D#","E","F","F#","G","G#","A","A#","B"},0)-1,MATCH(S191,{"C","Db","D","Eb","E","F","Gb","G","Ab","A","Bb","B"},0)-1)-69)/12),2),""))</f>
        <v/>
      </c>
      <c r="AD191" s="38">
        <f>IF(OR(O191="",Y191=""),"",IFERROR(ROUND(440*2^((12*(Y191+1)+IFERROR(MATCH(T191,{"C","C#","D","D#","E","F","F#","G","G#","A","A#","B"},0)-1,MATCH(T191,{"C","Db","D","Eb","E","F","Gb","G","Ab","A","Bb","B"},0)-1)-69)/12),2),""))</f>
        <v/>
      </c>
      <c r="AE191" s="38">
        <f>IF(OR(P191="",Z191=""),"",IFERROR(ROUND(440*2^((12*(Z191+1)+IFERROR(MATCH(U191,{"C","C#","D","D#","E","F","F#","G","G#","A","A#","B"},0)-1,MATCH(U191,{"C","Db","D","Eb","E","F","Gb","G","Ab","A","Bb","B"},0)-1)-69)/12),2),""))</f>
        <v/>
      </c>
      <c r="AF191" s="38">
        <f>IF(OR(Q191="",AA191=""),"",IFERROR(ROUND(440*2^((12*(AA191+1)+IFERROR(MATCH(V191,{"C","C#","D","D#","E","F","F#","G","G#","A","A#","B"},0)-1,MATCH(V191,{"C","Db","D","Eb","E","F","Gb","G","Ab","A","Bb","B"},0)-1)-69)/12),2),""))</f>
        <v/>
      </c>
      <c r="AG191" s="36" t="n"/>
      <c r="AH191" s="36" t="n"/>
      <c r="AI191" s="36" t="n"/>
      <c r="AJ191" s="36" t="inlineStr">
        <is>
          <t>Low</t>
        </is>
      </c>
      <c r="AK191" s="36" t="inlineStr">
        <is>
          <t>Low</t>
        </is>
      </c>
      <c r="AL191" s="35" t="n"/>
    </row>
    <row r="192">
      <c r="A192" s="35" t="inlineStr">
        <is>
          <t>TEST_019</t>
        </is>
      </c>
      <c r="B192" s="35" t="n">
        <v>10</v>
      </c>
      <c r="C192" s="36" t="n"/>
      <c r="D192" s="36" t="n"/>
      <c r="E192" s="36" t="n"/>
      <c r="F192" s="36" t="n">
        <v>8.140000000000001</v>
      </c>
      <c r="G192" s="36" t="n">
        <v>12.06</v>
      </c>
      <c r="H192" s="36" t="n"/>
      <c r="I192" s="36" t="n"/>
      <c r="J192" s="36" t="n"/>
      <c r="K192" s="36" t="n">
        <v>8.34</v>
      </c>
      <c r="L192" s="36" t="n">
        <v>12.29</v>
      </c>
      <c r="M192" s="36" t="n"/>
      <c r="N192" s="36" t="n"/>
      <c r="O192" s="36" t="n"/>
      <c r="P192" s="36" t="inlineStr">
        <is>
          <t>C4</t>
        </is>
      </c>
      <c r="Q192" s="36" t="inlineStr">
        <is>
          <t>F#2</t>
        </is>
      </c>
      <c r="R192" s="38">
        <f>IF(M192="","",LEFT(M192,LEN(M192)-1))</f>
        <v/>
      </c>
      <c r="S192" s="38">
        <f>IF(N192="","",LEFT(N192,LEN(N192)-1))</f>
        <v/>
      </c>
      <c r="T192" s="38">
        <f>IF(O192="","",LEFT(O192,LEN(O192)-1))</f>
        <v/>
      </c>
      <c r="U192" s="38">
        <f>IF(P192="","",LEFT(P192,LEN(P192)-1))</f>
        <v/>
      </c>
      <c r="V192" s="38">
        <f>IF(Q192="","",LEFT(Q192,LEN(Q192)-1))</f>
        <v/>
      </c>
      <c r="W192" s="38">
        <f>IF(M192="","",IFERROR(VALUE(RIGHT(M192,1)),""))</f>
        <v/>
      </c>
      <c r="X192" s="38">
        <f>IF(N192="","",IFERROR(VALUE(RIGHT(N192,1)),""))</f>
        <v/>
      </c>
      <c r="Y192" s="38">
        <f>IF(O192="","",IFERROR(VALUE(RIGHT(O192,1)),""))</f>
        <v/>
      </c>
      <c r="Z192" s="38">
        <f>IF(P192="","",IFERROR(VALUE(RIGHT(P192,1)),""))</f>
        <v/>
      </c>
      <c r="AA192" s="38">
        <f>IF(Q192="","",IFERROR(VALUE(RIGHT(Q192,1)),""))</f>
        <v/>
      </c>
      <c r="AB192" s="38">
        <f>IF(OR(M192="",W192=""),"",IFERROR(ROUND(440*2^((12*(W192+1)+IFERROR(MATCH(R192,{"C","C#","D","D#","E","F","F#","G","G#","A","A#","B"},0)-1,MATCH(R192,{"C","Db","D","Eb","E","F","Gb","G","Ab","A","Bb","B"},0)-1)-69)/12),2),""))</f>
        <v/>
      </c>
      <c r="AC192" s="38">
        <f>IF(OR(N192="",X192=""),"",IFERROR(ROUND(440*2^((12*(X192+1)+IFERROR(MATCH(S192,{"C","C#","D","D#","E","F","F#","G","G#","A","A#","B"},0)-1,MATCH(S192,{"C","Db","D","Eb","E","F","Gb","G","Ab","A","Bb","B"},0)-1)-69)/12),2),""))</f>
        <v/>
      </c>
      <c r="AD192" s="38">
        <f>IF(OR(O192="",Y192=""),"",IFERROR(ROUND(440*2^((12*(Y192+1)+IFERROR(MATCH(T192,{"C","C#","D","D#","E","F","F#","G","G#","A","A#","B"},0)-1,MATCH(T192,{"C","Db","D","Eb","E","F","Gb","G","Ab","A","Bb","B"},0)-1)-69)/12),2),""))</f>
        <v/>
      </c>
      <c r="AE192" s="38">
        <f>IF(OR(P192="",Z192=""),"",IFERROR(ROUND(440*2^((12*(Z192+1)+IFERROR(MATCH(U192,{"C","C#","D","D#","E","F","F#","G","G#","A","A#","B"},0)-1,MATCH(U192,{"C","Db","D","Eb","E","F","Gb","G","Ab","A","Bb","B"},0)-1)-69)/12),2),""))</f>
        <v/>
      </c>
      <c r="AF192" s="38">
        <f>IF(OR(Q192="",AA192=""),"",IFERROR(ROUND(440*2^((12*(AA192+1)+IFERROR(MATCH(V192,{"C","C#","D","D#","E","F","F#","G","G#","A","A#","B"},0)-1,MATCH(V192,{"C","Db","D","Eb","E","F","Gb","G","Ab","A","Bb","B"},0)-1)-69)/12),2),""))</f>
        <v/>
      </c>
      <c r="AG192" s="36" t="n"/>
      <c r="AH192" s="36" t="n"/>
      <c r="AI192" s="36" t="n"/>
      <c r="AJ192" s="36" t="inlineStr">
        <is>
          <t>Low</t>
        </is>
      </c>
      <c r="AK192" s="36" t="inlineStr">
        <is>
          <t>Low</t>
        </is>
      </c>
      <c r="AL192" s="35" t="n"/>
    </row>
    <row r="193">
      <c r="A193" s="35" t="inlineStr">
        <is>
          <t>TEST_020</t>
        </is>
      </c>
      <c r="B193" s="35" t="n">
        <v>1</v>
      </c>
      <c r="C193" s="36" t="n"/>
      <c r="D193" s="36" t="n"/>
      <c r="E193" s="36" t="n"/>
      <c r="F193" s="36" t="n">
        <v>0.1</v>
      </c>
      <c r="G193" s="36" t="n">
        <v>2.02</v>
      </c>
      <c r="H193" s="36" t="n"/>
      <c r="I193" s="36" t="n"/>
      <c r="J193" s="36" t="n"/>
      <c r="K193" s="36" t="n">
        <v>0.57</v>
      </c>
      <c r="L193" s="36" t="n">
        <v>2.21</v>
      </c>
      <c r="M193" s="36" t="n"/>
      <c r="N193" s="36" t="inlineStr">
        <is>
          <t>N/A</t>
        </is>
      </c>
      <c r="O193" s="36" t="inlineStr">
        <is>
          <t>N/A</t>
        </is>
      </c>
      <c r="P193" s="36" t="inlineStr">
        <is>
          <t>G#3</t>
        </is>
      </c>
      <c r="Q193" s="36" t="inlineStr">
        <is>
          <t>F#3</t>
        </is>
      </c>
      <c r="R193" s="38">
        <f>IF(M193="","",LEFT(M193,LEN(M193)-1))</f>
        <v/>
      </c>
      <c r="S193" s="38">
        <f>IF(N193="","",LEFT(N193,LEN(N193)-1))</f>
        <v/>
      </c>
      <c r="T193" s="38">
        <f>IF(O193="","",LEFT(O193,LEN(O193)-1))</f>
        <v/>
      </c>
      <c r="U193" s="38">
        <f>IF(P193="","",LEFT(P193,LEN(P193)-1))</f>
        <v/>
      </c>
      <c r="V193" s="38">
        <f>IF(Q193="","",LEFT(Q193,LEN(Q193)-1))</f>
        <v/>
      </c>
      <c r="W193" s="38">
        <f>IF(M193="","",IFERROR(VALUE(RIGHT(M193,1)),""))</f>
        <v/>
      </c>
      <c r="X193" s="38">
        <f>IF(N193="","",IFERROR(VALUE(RIGHT(N193,1)),""))</f>
        <v/>
      </c>
      <c r="Y193" s="38">
        <f>IF(O193="","",IFERROR(VALUE(RIGHT(O193,1)),""))</f>
        <v/>
      </c>
      <c r="Z193" s="38">
        <f>IF(P193="","",IFERROR(VALUE(RIGHT(P193,1)),""))</f>
        <v/>
      </c>
      <c r="AA193" s="38">
        <f>IF(Q193="","",IFERROR(VALUE(RIGHT(Q193,1)),""))</f>
        <v/>
      </c>
      <c r="AB193" s="38">
        <f>IF(OR(M193="",W193=""),"",IFERROR(ROUND(440*2^((12*(W193+1)+IFERROR(MATCH(R193,{"C","C#","D","D#","E","F","F#","G","G#","A","A#","B"},0)-1,MATCH(R193,{"C","Db","D","Eb","E","F","Gb","G","Ab","A","Bb","B"},0)-1)-69)/12),2),""))</f>
        <v/>
      </c>
      <c r="AC193" s="38">
        <f>IF(OR(N193="",X193=""),"",IFERROR(ROUND(440*2^((12*(X193+1)+IFERROR(MATCH(S193,{"C","C#","D","D#","E","F","F#","G","G#","A","A#","B"},0)-1,MATCH(S193,{"C","Db","D","Eb","E","F","Gb","G","Ab","A","Bb","B"},0)-1)-69)/12),2),""))</f>
        <v/>
      </c>
      <c r="AD193" s="38">
        <f>IF(OR(O193="",Y193=""),"",IFERROR(ROUND(440*2^((12*(Y193+1)+IFERROR(MATCH(T193,{"C","C#","D","D#","E","F","F#","G","G#","A","A#","B"},0)-1,MATCH(T193,{"C","Db","D","Eb","E","F","Gb","G","Ab","A","Bb","B"},0)-1)-69)/12),2),""))</f>
        <v/>
      </c>
      <c r="AE193" s="38">
        <f>IF(OR(P193="",Z193=""),"",IFERROR(ROUND(440*2^((12*(Z193+1)+IFERROR(MATCH(U193,{"C","C#","D","D#","E","F","F#","G","G#","A","A#","B"},0)-1,MATCH(U193,{"C","Db","D","Eb","E","F","Gb","G","Ab","A","Bb","B"},0)-1)-69)/12),2),""))</f>
        <v/>
      </c>
      <c r="AF193" s="38">
        <f>IF(OR(Q193="",AA193=""),"",IFERROR(ROUND(440*2^((12*(AA193+1)+IFERROR(MATCH(V193,{"C","C#","D","D#","E","F","F#","G","G#","A","A#","B"},0)-1,MATCH(V193,{"C","Db","D","Eb","E","F","Gb","G","Ab","A","Bb","B"},0)-1)-69)/12),2),""))</f>
        <v/>
      </c>
      <c r="AG193" s="36" t="n"/>
      <c r="AH193" s="36" t="n"/>
      <c r="AI193" s="36" t="n"/>
      <c r="AJ193" s="36" t="inlineStr">
        <is>
          <t>Low</t>
        </is>
      </c>
      <c r="AK193" s="36" t="inlineStr">
        <is>
          <t>Low</t>
        </is>
      </c>
      <c r="AL193" s="35" t="inlineStr">
        <is>
          <t>Other Repo = Essentia Melodia predominant-pitch notes; Claude = librosa pYIN notes (first 10 salient notes, rows NOT aligned across systems). Wilsify: backend has no note-transcription output. Chord AI: no note output available. Polyphonic guitar -&gt; treat as unverified; engines often differ by an octave.</t>
        </is>
      </c>
    </row>
    <row r="194">
      <c r="A194" s="35" t="inlineStr">
        <is>
          <t>TEST_020</t>
        </is>
      </c>
      <c r="B194" s="35" t="n">
        <v>2</v>
      </c>
      <c r="C194" s="36" t="n"/>
      <c r="D194" s="36" t="n"/>
      <c r="E194" s="36" t="n"/>
      <c r="F194" s="36" t="n">
        <v>8.859999999999999</v>
      </c>
      <c r="G194" s="36" t="n">
        <v>2.22</v>
      </c>
      <c r="H194" s="36" t="n"/>
      <c r="I194" s="36" t="n"/>
      <c r="J194" s="36" t="n"/>
      <c r="K194" s="36" t="n">
        <v>8.98</v>
      </c>
      <c r="L194" s="36" t="n">
        <v>2.89</v>
      </c>
      <c r="M194" s="36" t="n"/>
      <c r="N194" s="36" t="n"/>
      <c r="O194" s="36" t="n"/>
      <c r="P194" s="36" t="inlineStr">
        <is>
          <t>G#3</t>
        </is>
      </c>
      <c r="Q194" s="36" t="inlineStr">
        <is>
          <t>G#3</t>
        </is>
      </c>
      <c r="R194" s="38">
        <f>IF(M194="","",LEFT(M194,LEN(M194)-1))</f>
        <v/>
      </c>
      <c r="S194" s="38">
        <f>IF(N194="","",LEFT(N194,LEN(N194)-1))</f>
        <v/>
      </c>
      <c r="T194" s="38">
        <f>IF(O194="","",LEFT(O194,LEN(O194)-1))</f>
        <v/>
      </c>
      <c r="U194" s="38">
        <f>IF(P194="","",LEFT(P194,LEN(P194)-1))</f>
        <v/>
      </c>
      <c r="V194" s="38">
        <f>IF(Q194="","",LEFT(Q194,LEN(Q194)-1))</f>
        <v/>
      </c>
      <c r="W194" s="38">
        <f>IF(M194="","",IFERROR(VALUE(RIGHT(M194,1)),""))</f>
        <v/>
      </c>
      <c r="X194" s="38">
        <f>IF(N194="","",IFERROR(VALUE(RIGHT(N194,1)),""))</f>
        <v/>
      </c>
      <c r="Y194" s="38">
        <f>IF(O194="","",IFERROR(VALUE(RIGHT(O194,1)),""))</f>
        <v/>
      </c>
      <c r="Z194" s="38">
        <f>IF(P194="","",IFERROR(VALUE(RIGHT(P194,1)),""))</f>
        <v/>
      </c>
      <c r="AA194" s="38">
        <f>IF(Q194="","",IFERROR(VALUE(RIGHT(Q194,1)),""))</f>
        <v/>
      </c>
      <c r="AB194" s="38">
        <f>IF(OR(M194="",W194=""),"",IFERROR(ROUND(440*2^((12*(W194+1)+IFERROR(MATCH(R194,{"C","C#","D","D#","E","F","F#","G","G#","A","A#","B"},0)-1,MATCH(R194,{"C","Db","D","Eb","E","F","Gb","G","Ab","A","Bb","B"},0)-1)-69)/12),2),""))</f>
        <v/>
      </c>
      <c r="AC194" s="38">
        <f>IF(OR(N194="",X194=""),"",IFERROR(ROUND(440*2^((12*(X194+1)+IFERROR(MATCH(S194,{"C","C#","D","D#","E","F","F#","G","G#","A","A#","B"},0)-1,MATCH(S194,{"C","Db","D","Eb","E","F","Gb","G","Ab","A","Bb","B"},0)-1)-69)/12),2),""))</f>
        <v/>
      </c>
      <c r="AD194" s="38">
        <f>IF(OR(O194="",Y194=""),"",IFERROR(ROUND(440*2^((12*(Y194+1)+IFERROR(MATCH(T194,{"C","C#","D","D#","E","F","F#","G","G#","A","A#","B"},0)-1,MATCH(T194,{"C","Db","D","Eb","E","F","Gb","G","Ab","A","Bb","B"},0)-1)-69)/12),2),""))</f>
        <v/>
      </c>
      <c r="AE194" s="38">
        <f>IF(OR(P194="",Z194=""),"",IFERROR(ROUND(440*2^((12*(Z194+1)+IFERROR(MATCH(U194,{"C","C#","D","D#","E","F","F#","G","G#","A","A#","B"},0)-1,MATCH(U194,{"C","Db","D","Eb","E","F","Gb","G","Ab","A","Bb","B"},0)-1)-69)/12),2),""))</f>
        <v/>
      </c>
      <c r="AF194" s="38">
        <f>IF(OR(Q194="",AA194=""),"",IFERROR(ROUND(440*2^((12*(AA194+1)+IFERROR(MATCH(V194,{"C","C#","D","D#","E","F","F#","G","G#","A","A#","B"},0)-1,MATCH(V194,{"C","Db","D","Eb","E","F","Gb","G","Ab","A","Bb","B"},0)-1)-69)/12),2),""))</f>
        <v/>
      </c>
      <c r="AG194" s="36" t="n"/>
      <c r="AH194" s="36" t="n"/>
      <c r="AI194" s="36" t="n"/>
      <c r="AJ194" s="36" t="inlineStr">
        <is>
          <t>Low</t>
        </is>
      </c>
      <c r="AK194" s="36" t="inlineStr">
        <is>
          <t>High</t>
        </is>
      </c>
      <c r="AL194" s="35" t="n"/>
    </row>
    <row r="195">
      <c r="A195" s="35" t="inlineStr">
        <is>
          <t>TEST_020</t>
        </is>
      </c>
      <c r="B195" s="35" t="n">
        <v>3</v>
      </c>
      <c r="C195" s="36" t="n"/>
      <c r="D195" s="36" t="n"/>
      <c r="E195" s="36" t="n"/>
      <c r="F195" s="36" t="n">
        <v>9.109999999999999</v>
      </c>
      <c r="G195" s="36" t="n">
        <v>3.15</v>
      </c>
      <c r="H195" s="36" t="n"/>
      <c r="I195" s="36" t="n"/>
      <c r="J195" s="36" t="n"/>
      <c r="K195" s="36" t="n">
        <v>9.27</v>
      </c>
      <c r="L195" s="36" t="n">
        <v>3.55</v>
      </c>
      <c r="M195" s="36" t="n"/>
      <c r="N195" s="36" t="n"/>
      <c r="O195" s="36" t="n"/>
      <c r="P195" s="36" t="inlineStr">
        <is>
          <t>G#3</t>
        </is>
      </c>
      <c r="Q195" s="36" t="inlineStr">
        <is>
          <t>B3</t>
        </is>
      </c>
      <c r="R195" s="38">
        <f>IF(M195="","",LEFT(M195,LEN(M195)-1))</f>
        <v/>
      </c>
      <c r="S195" s="38">
        <f>IF(N195="","",LEFT(N195,LEN(N195)-1))</f>
        <v/>
      </c>
      <c r="T195" s="38">
        <f>IF(O195="","",LEFT(O195,LEN(O195)-1))</f>
        <v/>
      </c>
      <c r="U195" s="38">
        <f>IF(P195="","",LEFT(P195,LEN(P195)-1))</f>
        <v/>
      </c>
      <c r="V195" s="38">
        <f>IF(Q195="","",LEFT(Q195,LEN(Q195)-1))</f>
        <v/>
      </c>
      <c r="W195" s="38">
        <f>IF(M195="","",IFERROR(VALUE(RIGHT(M195,1)),""))</f>
        <v/>
      </c>
      <c r="X195" s="38">
        <f>IF(N195="","",IFERROR(VALUE(RIGHT(N195,1)),""))</f>
        <v/>
      </c>
      <c r="Y195" s="38">
        <f>IF(O195="","",IFERROR(VALUE(RIGHT(O195,1)),""))</f>
        <v/>
      </c>
      <c r="Z195" s="38">
        <f>IF(P195="","",IFERROR(VALUE(RIGHT(P195,1)),""))</f>
        <v/>
      </c>
      <c r="AA195" s="38">
        <f>IF(Q195="","",IFERROR(VALUE(RIGHT(Q195,1)),""))</f>
        <v/>
      </c>
      <c r="AB195" s="38">
        <f>IF(OR(M195="",W195=""),"",IFERROR(ROUND(440*2^((12*(W195+1)+IFERROR(MATCH(R195,{"C","C#","D","D#","E","F","F#","G","G#","A","A#","B"},0)-1,MATCH(R195,{"C","Db","D","Eb","E","F","Gb","G","Ab","A","Bb","B"},0)-1)-69)/12),2),""))</f>
        <v/>
      </c>
      <c r="AC195" s="38">
        <f>IF(OR(N195="",X195=""),"",IFERROR(ROUND(440*2^((12*(X195+1)+IFERROR(MATCH(S195,{"C","C#","D","D#","E","F","F#","G","G#","A","A#","B"},0)-1,MATCH(S195,{"C","Db","D","Eb","E","F","Gb","G","Ab","A","Bb","B"},0)-1)-69)/12),2),""))</f>
        <v/>
      </c>
      <c r="AD195" s="38">
        <f>IF(OR(O195="",Y195=""),"",IFERROR(ROUND(440*2^((12*(Y195+1)+IFERROR(MATCH(T195,{"C","C#","D","D#","E","F","F#","G","G#","A","A#","B"},0)-1,MATCH(T195,{"C","Db","D","Eb","E","F","Gb","G","Ab","A","Bb","B"},0)-1)-69)/12),2),""))</f>
        <v/>
      </c>
      <c r="AE195" s="38">
        <f>IF(OR(P195="",Z195=""),"",IFERROR(ROUND(440*2^((12*(Z195+1)+IFERROR(MATCH(U195,{"C","C#","D","D#","E","F","F#","G","G#","A","A#","B"},0)-1,MATCH(U195,{"C","Db","D","Eb","E","F","Gb","G","Ab","A","Bb","B"},0)-1)-69)/12),2),""))</f>
        <v/>
      </c>
      <c r="AF195" s="38">
        <f>IF(OR(Q195="",AA195=""),"",IFERROR(ROUND(440*2^((12*(AA195+1)+IFERROR(MATCH(V195,{"C","C#","D","D#","E","F","F#","G","G#","A","A#","B"},0)-1,MATCH(V195,{"C","Db","D","Eb","E","F","Gb","G","Ab","A","Bb","B"},0)-1)-69)/12),2),""))</f>
        <v/>
      </c>
      <c r="AG195" s="36" t="n"/>
      <c r="AH195" s="36" t="n"/>
      <c r="AI195" s="36" t="n"/>
      <c r="AJ195" s="36" t="inlineStr">
        <is>
          <t>Low</t>
        </is>
      </c>
      <c r="AK195" s="36" t="inlineStr">
        <is>
          <t>Low</t>
        </is>
      </c>
      <c r="AL195" s="35" t="n"/>
    </row>
    <row r="196">
      <c r="A196" s="35" t="inlineStr">
        <is>
          <t>TEST_020</t>
        </is>
      </c>
      <c r="B196" s="35" t="n">
        <v>4</v>
      </c>
      <c r="C196" s="36" t="n"/>
      <c r="D196" s="36" t="n"/>
      <c r="E196" s="36" t="n"/>
      <c r="F196" s="36" t="n">
        <v>9.27</v>
      </c>
      <c r="G196" s="36" t="n">
        <v>4.99</v>
      </c>
      <c r="H196" s="36" t="n"/>
      <c r="I196" s="36" t="n"/>
      <c r="J196" s="36" t="n"/>
      <c r="K196" s="36" t="n">
        <v>9.44</v>
      </c>
      <c r="L196" s="36" t="n">
        <v>6.29</v>
      </c>
      <c r="M196" s="36" t="n"/>
      <c r="N196" s="36" t="n"/>
      <c r="O196" s="36" t="n"/>
      <c r="P196" s="36" t="inlineStr">
        <is>
          <t>A#3</t>
        </is>
      </c>
      <c r="Q196" s="36" t="inlineStr">
        <is>
          <t>A2</t>
        </is>
      </c>
      <c r="R196" s="38">
        <f>IF(M196="","",LEFT(M196,LEN(M196)-1))</f>
        <v/>
      </c>
      <c r="S196" s="38">
        <f>IF(N196="","",LEFT(N196,LEN(N196)-1))</f>
        <v/>
      </c>
      <c r="T196" s="38">
        <f>IF(O196="","",LEFT(O196,LEN(O196)-1))</f>
        <v/>
      </c>
      <c r="U196" s="38">
        <f>IF(P196="","",LEFT(P196,LEN(P196)-1))</f>
        <v/>
      </c>
      <c r="V196" s="38">
        <f>IF(Q196="","",LEFT(Q196,LEN(Q196)-1))</f>
        <v/>
      </c>
      <c r="W196" s="38">
        <f>IF(M196="","",IFERROR(VALUE(RIGHT(M196,1)),""))</f>
        <v/>
      </c>
      <c r="X196" s="38">
        <f>IF(N196="","",IFERROR(VALUE(RIGHT(N196,1)),""))</f>
        <v/>
      </c>
      <c r="Y196" s="38">
        <f>IF(O196="","",IFERROR(VALUE(RIGHT(O196,1)),""))</f>
        <v/>
      </c>
      <c r="Z196" s="38">
        <f>IF(P196="","",IFERROR(VALUE(RIGHT(P196,1)),""))</f>
        <v/>
      </c>
      <c r="AA196" s="38">
        <f>IF(Q196="","",IFERROR(VALUE(RIGHT(Q196,1)),""))</f>
        <v/>
      </c>
      <c r="AB196" s="38">
        <f>IF(OR(M196="",W196=""),"",IFERROR(ROUND(440*2^((12*(W196+1)+IFERROR(MATCH(R196,{"C","C#","D","D#","E","F","F#","G","G#","A","A#","B"},0)-1,MATCH(R196,{"C","Db","D","Eb","E","F","Gb","G","Ab","A","Bb","B"},0)-1)-69)/12),2),""))</f>
        <v/>
      </c>
      <c r="AC196" s="38">
        <f>IF(OR(N196="",X196=""),"",IFERROR(ROUND(440*2^((12*(X196+1)+IFERROR(MATCH(S196,{"C","C#","D","D#","E","F","F#","G","G#","A","A#","B"},0)-1,MATCH(S196,{"C","Db","D","Eb","E","F","Gb","G","Ab","A","Bb","B"},0)-1)-69)/12),2),""))</f>
        <v/>
      </c>
      <c r="AD196" s="38">
        <f>IF(OR(O196="",Y196=""),"",IFERROR(ROUND(440*2^((12*(Y196+1)+IFERROR(MATCH(T196,{"C","C#","D","D#","E","F","F#","G","G#","A","A#","B"},0)-1,MATCH(T196,{"C","Db","D","Eb","E","F","Gb","G","Ab","A","Bb","B"},0)-1)-69)/12),2),""))</f>
        <v/>
      </c>
      <c r="AE196" s="38">
        <f>IF(OR(P196="",Z196=""),"",IFERROR(ROUND(440*2^((12*(Z196+1)+IFERROR(MATCH(U196,{"C","C#","D","D#","E","F","F#","G","G#","A","A#","B"},0)-1,MATCH(U196,{"C","Db","D","Eb","E","F","Gb","G","Ab","A","Bb","B"},0)-1)-69)/12),2),""))</f>
        <v/>
      </c>
      <c r="AF196" s="38">
        <f>IF(OR(Q196="",AA196=""),"",IFERROR(ROUND(440*2^((12*(AA196+1)+IFERROR(MATCH(V196,{"C","C#","D","D#","E","F","F#","G","G#","A","A#","B"},0)-1,MATCH(V196,{"C","Db","D","Eb","E","F","Gb","G","Ab","A","Bb","B"},0)-1)-69)/12),2),""))</f>
        <v/>
      </c>
      <c r="AG196" s="36" t="n"/>
      <c r="AH196" s="36" t="n"/>
      <c r="AI196" s="36" t="n"/>
      <c r="AJ196" s="36" t="inlineStr">
        <is>
          <t>Low</t>
        </is>
      </c>
      <c r="AK196" s="36" t="inlineStr">
        <is>
          <t>Low</t>
        </is>
      </c>
      <c r="AL196" s="35" t="n"/>
    </row>
    <row r="197">
      <c r="A197" s="35" t="inlineStr">
        <is>
          <t>TEST_020</t>
        </is>
      </c>
      <c r="B197" s="35" t="n">
        <v>5</v>
      </c>
      <c r="C197" s="36" t="n"/>
      <c r="D197" s="36" t="n"/>
      <c r="E197" s="36" t="n"/>
      <c r="F197" s="36" t="n">
        <v>9.789999999999999</v>
      </c>
      <c r="G197" s="36" t="n">
        <v>6.44</v>
      </c>
      <c r="H197" s="36" t="n"/>
      <c r="I197" s="36" t="n"/>
      <c r="J197" s="36" t="n"/>
      <c r="K197" s="36" t="n">
        <v>10.08</v>
      </c>
      <c r="L197" s="36" t="n">
        <v>7.01</v>
      </c>
      <c r="M197" s="36" t="n"/>
      <c r="N197" s="36" t="n"/>
      <c r="O197" s="36" t="n"/>
      <c r="P197" s="36" t="inlineStr">
        <is>
          <t>A3</t>
        </is>
      </c>
      <c r="Q197" s="36" t="inlineStr">
        <is>
          <t>E2</t>
        </is>
      </c>
      <c r="R197" s="38">
        <f>IF(M197="","",LEFT(M197,LEN(M197)-1))</f>
        <v/>
      </c>
      <c r="S197" s="38">
        <f>IF(N197="","",LEFT(N197,LEN(N197)-1))</f>
        <v/>
      </c>
      <c r="T197" s="38">
        <f>IF(O197="","",LEFT(O197,LEN(O197)-1))</f>
        <v/>
      </c>
      <c r="U197" s="38">
        <f>IF(P197="","",LEFT(P197,LEN(P197)-1))</f>
        <v/>
      </c>
      <c r="V197" s="38">
        <f>IF(Q197="","",LEFT(Q197,LEN(Q197)-1))</f>
        <v/>
      </c>
      <c r="W197" s="38">
        <f>IF(M197="","",IFERROR(VALUE(RIGHT(M197,1)),""))</f>
        <v/>
      </c>
      <c r="X197" s="38">
        <f>IF(N197="","",IFERROR(VALUE(RIGHT(N197,1)),""))</f>
        <v/>
      </c>
      <c r="Y197" s="38">
        <f>IF(O197="","",IFERROR(VALUE(RIGHT(O197,1)),""))</f>
        <v/>
      </c>
      <c r="Z197" s="38">
        <f>IF(P197="","",IFERROR(VALUE(RIGHT(P197,1)),""))</f>
        <v/>
      </c>
      <c r="AA197" s="38">
        <f>IF(Q197="","",IFERROR(VALUE(RIGHT(Q197,1)),""))</f>
        <v/>
      </c>
      <c r="AB197" s="38">
        <f>IF(OR(M197="",W197=""),"",IFERROR(ROUND(440*2^((12*(W197+1)+IFERROR(MATCH(R197,{"C","C#","D","D#","E","F","F#","G","G#","A","A#","B"},0)-1,MATCH(R197,{"C","Db","D","Eb","E","F","Gb","G","Ab","A","Bb","B"},0)-1)-69)/12),2),""))</f>
        <v/>
      </c>
      <c r="AC197" s="38">
        <f>IF(OR(N197="",X197=""),"",IFERROR(ROUND(440*2^((12*(X197+1)+IFERROR(MATCH(S197,{"C","C#","D","D#","E","F","F#","G","G#","A","A#","B"},0)-1,MATCH(S197,{"C","Db","D","Eb","E","F","Gb","G","Ab","A","Bb","B"},0)-1)-69)/12),2),""))</f>
        <v/>
      </c>
      <c r="AD197" s="38">
        <f>IF(OR(O197="",Y197=""),"",IFERROR(ROUND(440*2^((12*(Y197+1)+IFERROR(MATCH(T197,{"C","C#","D","D#","E","F","F#","G","G#","A","A#","B"},0)-1,MATCH(T197,{"C","Db","D","Eb","E","F","Gb","G","Ab","A","Bb","B"},0)-1)-69)/12),2),""))</f>
        <v/>
      </c>
      <c r="AE197" s="38">
        <f>IF(OR(P197="",Z197=""),"",IFERROR(ROUND(440*2^((12*(Z197+1)+IFERROR(MATCH(U197,{"C","C#","D","D#","E","F","F#","G","G#","A","A#","B"},0)-1,MATCH(U197,{"C","Db","D","Eb","E","F","Gb","G","Ab","A","Bb","B"},0)-1)-69)/12),2),""))</f>
        <v/>
      </c>
      <c r="AF197" s="38">
        <f>IF(OR(Q197="",AA197=""),"",IFERROR(ROUND(440*2^((12*(AA197+1)+IFERROR(MATCH(V197,{"C","C#","D","D#","E","F","F#","G","G#","A","A#","B"},0)-1,MATCH(V197,{"C","Db","D","Eb","E","F","Gb","G","Ab","A","Bb","B"},0)-1)-69)/12),2),""))</f>
        <v/>
      </c>
      <c r="AG197" s="36" t="n"/>
      <c r="AH197" s="36" t="n"/>
      <c r="AI197" s="36" t="n"/>
      <c r="AJ197" s="36" t="inlineStr">
        <is>
          <t>Low</t>
        </is>
      </c>
      <c r="AK197" s="36" t="inlineStr">
        <is>
          <t>Low</t>
        </is>
      </c>
      <c r="AL197" s="35" t="n"/>
    </row>
    <row r="198">
      <c r="A198" s="35" t="inlineStr">
        <is>
          <t>TEST_020</t>
        </is>
      </c>
      <c r="B198" s="35" t="n">
        <v>6</v>
      </c>
      <c r="C198" s="36" t="n"/>
      <c r="D198" s="36" t="n"/>
      <c r="E198" s="36" t="n"/>
      <c r="F198" s="36" t="n">
        <v>10.19</v>
      </c>
      <c r="G198" s="36" t="n">
        <v>7.05</v>
      </c>
      <c r="H198" s="36" t="n"/>
      <c r="I198" s="36" t="n"/>
      <c r="J198" s="36" t="n"/>
      <c r="K198" s="36" t="n">
        <v>10.51</v>
      </c>
      <c r="L198" s="36" t="n">
        <v>7.59</v>
      </c>
      <c r="M198" s="36" t="n"/>
      <c r="N198" s="36" t="n"/>
      <c r="O198" s="36" t="n"/>
      <c r="P198" s="36" t="inlineStr">
        <is>
          <t>G#3</t>
        </is>
      </c>
      <c r="Q198" s="36" t="inlineStr">
        <is>
          <t>B2</t>
        </is>
      </c>
      <c r="R198" s="38">
        <f>IF(M198="","",LEFT(M198,LEN(M198)-1))</f>
        <v/>
      </c>
      <c r="S198" s="38">
        <f>IF(N198="","",LEFT(N198,LEN(N198)-1))</f>
        <v/>
      </c>
      <c r="T198" s="38">
        <f>IF(O198="","",LEFT(O198,LEN(O198)-1))</f>
        <v/>
      </c>
      <c r="U198" s="38">
        <f>IF(P198="","",LEFT(P198,LEN(P198)-1))</f>
        <v/>
      </c>
      <c r="V198" s="38">
        <f>IF(Q198="","",LEFT(Q198,LEN(Q198)-1))</f>
        <v/>
      </c>
      <c r="W198" s="38">
        <f>IF(M198="","",IFERROR(VALUE(RIGHT(M198,1)),""))</f>
        <v/>
      </c>
      <c r="X198" s="38">
        <f>IF(N198="","",IFERROR(VALUE(RIGHT(N198,1)),""))</f>
        <v/>
      </c>
      <c r="Y198" s="38">
        <f>IF(O198="","",IFERROR(VALUE(RIGHT(O198,1)),""))</f>
        <v/>
      </c>
      <c r="Z198" s="38">
        <f>IF(P198="","",IFERROR(VALUE(RIGHT(P198,1)),""))</f>
        <v/>
      </c>
      <c r="AA198" s="38">
        <f>IF(Q198="","",IFERROR(VALUE(RIGHT(Q198,1)),""))</f>
        <v/>
      </c>
      <c r="AB198" s="38">
        <f>IF(OR(M198="",W198=""),"",IFERROR(ROUND(440*2^((12*(W198+1)+IFERROR(MATCH(R198,{"C","C#","D","D#","E","F","F#","G","G#","A","A#","B"},0)-1,MATCH(R198,{"C","Db","D","Eb","E","F","Gb","G","Ab","A","Bb","B"},0)-1)-69)/12),2),""))</f>
        <v/>
      </c>
      <c r="AC198" s="38">
        <f>IF(OR(N198="",X198=""),"",IFERROR(ROUND(440*2^((12*(X198+1)+IFERROR(MATCH(S198,{"C","C#","D","D#","E","F","F#","G","G#","A","A#","B"},0)-1,MATCH(S198,{"C","Db","D","Eb","E","F","Gb","G","Ab","A","Bb","B"},0)-1)-69)/12),2),""))</f>
        <v/>
      </c>
      <c r="AD198" s="38">
        <f>IF(OR(O198="",Y198=""),"",IFERROR(ROUND(440*2^((12*(Y198+1)+IFERROR(MATCH(T198,{"C","C#","D","D#","E","F","F#","G","G#","A","A#","B"},0)-1,MATCH(T198,{"C","Db","D","Eb","E","F","Gb","G","Ab","A","Bb","B"},0)-1)-69)/12),2),""))</f>
        <v/>
      </c>
      <c r="AE198" s="38">
        <f>IF(OR(P198="",Z198=""),"",IFERROR(ROUND(440*2^((12*(Z198+1)+IFERROR(MATCH(U198,{"C","C#","D","D#","E","F","F#","G","G#","A","A#","B"},0)-1,MATCH(U198,{"C","Db","D","Eb","E","F","Gb","G","Ab","A","Bb","B"},0)-1)-69)/12),2),""))</f>
        <v/>
      </c>
      <c r="AF198" s="38">
        <f>IF(OR(Q198="",AA198=""),"",IFERROR(ROUND(440*2^((12*(AA198+1)+IFERROR(MATCH(V198,{"C","C#","D","D#","E","F","F#","G","G#","A","A#","B"},0)-1,MATCH(V198,{"C","Db","D","Eb","E","F","Gb","G","Ab","A","Bb","B"},0)-1)-69)/12),2),""))</f>
        <v/>
      </c>
      <c r="AG198" s="36" t="n"/>
      <c r="AH198" s="36" t="n"/>
      <c r="AI198" s="36" t="n"/>
      <c r="AJ198" s="36" t="inlineStr">
        <is>
          <t>Low</t>
        </is>
      </c>
      <c r="AK198" s="36" t="inlineStr">
        <is>
          <t>Medium</t>
        </is>
      </c>
      <c r="AL198" s="35" t="n"/>
    </row>
    <row r="199">
      <c r="A199" s="35" t="inlineStr">
        <is>
          <t>TEST_020</t>
        </is>
      </c>
      <c r="B199" s="35" t="n">
        <v>7</v>
      </c>
      <c r="C199" s="36" t="n"/>
      <c r="D199" s="36" t="n"/>
      <c r="E199" s="36" t="n"/>
      <c r="F199" s="36" t="n">
        <v>13.67</v>
      </c>
      <c r="G199" s="36" t="n">
        <v>9.82</v>
      </c>
      <c r="H199" s="36" t="n"/>
      <c r="I199" s="36" t="n"/>
      <c r="J199" s="36" t="n"/>
      <c r="K199" s="36" t="n">
        <v>13.86</v>
      </c>
      <c r="L199" s="36" t="n">
        <v>10.09</v>
      </c>
      <c r="M199" s="36" t="n"/>
      <c r="N199" s="36" t="n"/>
      <c r="O199" s="36" t="n"/>
      <c r="P199" s="36" t="inlineStr">
        <is>
          <t>G#3</t>
        </is>
      </c>
      <c r="Q199" s="36" t="inlineStr">
        <is>
          <t>A3</t>
        </is>
      </c>
      <c r="R199" s="38">
        <f>IF(M199="","",LEFT(M199,LEN(M199)-1))</f>
        <v/>
      </c>
      <c r="S199" s="38">
        <f>IF(N199="","",LEFT(N199,LEN(N199)-1))</f>
        <v/>
      </c>
      <c r="T199" s="38">
        <f>IF(O199="","",LEFT(O199,LEN(O199)-1))</f>
        <v/>
      </c>
      <c r="U199" s="38">
        <f>IF(P199="","",LEFT(P199,LEN(P199)-1))</f>
        <v/>
      </c>
      <c r="V199" s="38">
        <f>IF(Q199="","",LEFT(Q199,LEN(Q199)-1))</f>
        <v/>
      </c>
      <c r="W199" s="38">
        <f>IF(M199="","",IFERROR(VALUE(RIGHT(M199,1)),""))</f>
        <v/>
      </c>
      <c r="X199" s="38">
        <f>IF(N199="","",IFERROR(VALUE(RIGHT(N199,1)),""))</f>
        <v/>
      </c>
      <c r="Y199" s="38">
        <f>IF(O199="","",IFERROR(VALUE(RIGHT(O199,1)),""))</f>
        <v/>
      </c>
      <c r="Z199" s="38">
        <f>IF(P199="","",IFERROR(VALUE(RIGHT(P199,1)),""))</f>
        <v/>
      </c>
      <c r="AA199" s="38">
        <f>IF(Q199="","",IFERROR(VALUE(RIGHT(Q199,1)),""))</f>
        <v/>
      </c>
      <c r="AB199" s="38">
        <f>IF(OR(M199="",W199=""),"",IFERROR(ROUND(440*2^((12*(W199+1)+IFERROR(MATCH(R199,{"C","C#","D","D#","E","F","F#","G","G#","A","A#","B"},0)-1,MATCH(R199,{"C","Db","D","Eb","E","F","Gb","G","Ab","A","Bb","B"},0)-1)-69)/12),2),""))</f>
        <v/>
      </c>
      <c r="AC199" s="38">
        <f>IF(OR(N199="",X199=""),"",IFERROR(ROUND(440*2^((12*(X199+1)+IFERROR(MATCH(S199,{"C","C#","D","D#","E","F","F#","G","G#","A","A#","B"},0)-1,MATCH(S199,{"C","Db","D","Eb","E","F","Gb","G","Ab","A","Bb","B"},0)-1)-69)/12),2),""))</f>
        <v/>
      </c>
      <c r="AD199" s="38">
        <f>IF(OR(O199="",Y199=""),"",IFERROR(ROUND(440*2^((12*(Y199+1)+IFERROR(MATCH(T199,{"C","C#","D","D#","E","F","F#","G","G#","A","A#","B"},0)-1,MATCH(T199,{"C","Db","D","Eb","E","F","Gb","G","Ab","A","Bb","B"},0)-1)-69)/12),2),""))</f>
        <v/>
      </c>
      <c r="AE199" s="38">
        <f>IF(OR(P199="",Z199=""),"",IFERROR(ROUND(440*2^((12*(Z199+1)+IFERROR(MATCH(U199,{"C","C#","D","D#","E","F","F#","G","G#","A","A#","B"},0)-1,MATCH(U199,{"C","Db","D","Eb","E","F","Gb","G","Ab","A","Bb","B"},0)-1)-69)/12),2),""))</f>
        <v/>
      </c>
      <c r="AF199" s="38">
        <f>IF(OR(Q199="",AA199=""),"",IFERROR(ROUND(440*2^((12*(AA199+1)+IFERROR(MATCH(V199,{"C","C#","D","D#","E","F","F#","G","G#","A","A#","B"},0)-1,MATCH(V199,{"C","Db","D","Eb","E","F","Gb","G","Ab","A","Bb","B"},0)-1)-69)/12),2),""))</f>
        <v/>
      </c>
      <c r="AG199" s="36" t="n"/>
      <c r="AH199" s="36" t="n"/>
      <c r="AI199" s="36" t="n"/>
      <c r="AJ199" s="36" t="inlineStr">
        <is>
          <t>Low</t>
        </is>
      </c>
      <c r="AK199" s="36" t="inlineStr">
        <is>
          <t>Low</t>
        </is>
      </c>
      <c r="AL199" s="35" t="n"/>
    </row>
    <row r="200">
      <c r="A200" s="35" t="inlineStr">
        <is>
          <t>TEST_020</t>
        </is>
      </c>
      <c r="B200" s="35" t="n">
        <v>8</v>
      </c>
      <c r="C200" s="36" t="n"/>
      <c r="D200" s="36" t="n"/>
      <c r="E200" s="36" t="n"/>
      <c r="F200" s="36" t="n">
        <v>13.87</v>
      </c>
      <c r="G200" s="36" t="n">
        <v>10.17</v>
      </c>
      <c r="H200" s="36" t="n"/>
      <c r="I200" s="36" t="n"/>
      <c r="J200" s="36" t="n"/>
      <c r="K200" s="36" t="n">
        <v>14.03</v>
      </c>
      <c r="L200" s="36" t="n">
        <v>10.48</v>
      </c>
      <c r="M200" s="36" t="n"/>
      <c r="N200" s="36" t="n"/>
      <c r="O200" s="36" t="n"/>
      <c r="P200" s="36" t="inlineStr">
        <is>
          <t>F#3</t>
        </is>
      </c>
      <c r="Q200" s="36" t="inlineStr">
        <is>
          <t>G#3</t>
        </is>
      </c>
      <c r="R200" s="38">
        <f>IF(M200="","",LEFT(M200,LEN(M200)-1))</f>
        <v/>
      </c>
      <c r="S200" s="38">
        <f>IF(N200="","",LEFT(N200,LEN(N200)-1))</f>
        <v/>
      </c>
      <c r="T200" s="38">
        <f>IF(O200="","",LEFT(O200,LEN(O200)-1))</f>
        <v/>
      </c>
      <c r="U200" s="38">
        <f>IF(P200="","",LEFT(P200,LEN(P200)-1))</f>
        <v/>
      </c>
      <c r="V200" s="38">
        <f>IF(Q200="","",LEFT(Q200,LEN(Q200)-1))</f>
        <v/>
      </c>
      <c r="W200" s="38">
        <f>IF(M200="","",IFERROR(VALUE(RIGHT(M200,1)),""))</f>
        <v/>
      </c>
      <c r="X200" s="38">
        <f>IF(N200="","",IFERROR(VALUE(RIGHT(N200,1)),""))</f>
        <v/>
      </c>
      <c r="Y200" s="38">
        <f>IF(O200="","",IFERROR(VALUE(RIGHT(O200,1)),""))</f>
        <v/>
      </c>
      <c r="Z200" s="38">
        <f>IF(P200="","",IFERROR(VALUE(RIGHT(P200,1)),""))</f>
        <v/>
      </c>
      <c r="AA200" s="38">
        <f>IF(Q200="","",IFERROR(VALUE(RIGHT(Q200,1)),""))</f>
        <v/>
      </c>
      <c r="AB200" s="38">
        <f>IF(OR(M200="",W200=""),"",IFERROR(ROUND(440*2^((12*(W200+1)+IFERROR(MATCH(R200,{"C","C#","D","D#","E","F","F#","G","G#","A","A#","B"},0)-1,MATCH(R200,{"C","Db","D","Eb","E","F","Gb","G","Ab","A","Bb","B"},0)-1)-69)/12),2),""))</f>
        <v/>
      </c>
      <c r="AC200" s="38">
        <f>IF(OR(N200="",X200=""),"",IFERROR(ROUND(440*2^((12*(X200+1)+IFERROR(MATCH(S200,{"C","C#","D","D#","E","F","F#","G","G#","A","A#","B"},0)-1,MATCH(S200,{"C","Db","D","Eb","E","F","Gb","G","Ab","A","Bb","B"},0)-1)-69)/12),2),""))</f>
        <v/>
      </c>
      <c r="AD200" s="38">
        <f>IF(OR(O200="",Y200=""),"",IFERROR(ROUND(440*2^((12*(Y200+1)+IFERROR(MATCH(T200,{"C","C#","D","D#","E","F","F#","G","G#","A","A#","B"},0)-1,MATCH(T200,{"C","Db","D","Eb","E","F","Gb","G","Ab","A","Bb","B"},0)-1)-69)/12),2),""))</f>
        <v/>
      </c>
      <c r="AE200" s="38">
        <f>IF(OR(P200="",Z200=""),"",IFERROR(ROUND(440*2^((12*(Z200+1)+IFERROR(MATCH(U200,{"C","C#","D","D#","E","F","F#","G","G#","A","A#","B"},0)-1,MATCH(U200,{"C","Db","D","Eb","E","F","Gb","G","Ab","A","Bb","B"},0)-1)-69)/12),2),""))</f>
        <v/>
      </c>
      <c r="AF200" s="38">
        <f>IF(OR(Q200="",AA200=""),"",IFERROR(ROUND(440*2^((12*(AA200+1)+IFERROR(MATCH(V200,{"C","C#","D","D#","E","F","F#","G","G#","A","A#","B"},0)-1,MATCH(V200,{"C","Db","D","Eb","E","F","Gb","G","Ab","A","Bb","B"},0)-1)-69)/12),2),""))</f>
        <v/>
      </c>
      <c r="AG200" s="36" t="n"/>
      <c r="AH200" s="36" t="n"/>
      <c r="AI200" s="36" t="n"/>
      <c r="AJ200" s="36" t="inlineStr">
        <is>
          <t>Low</t>
        </is>
      </c>
      <c r="AK200" s="36" t="inlineStr">
        <is>
          <t>Low</t>
        </is>
      </c>
      <c r="AL200" s="35" t="n"/>
    </row>
    <row r="201">
      <c r="A201" s="35" t="inlineStr">
        <is>
          <t>TEST_020</t>
        </is>
      </c>
      <c r="B201" s="35" t="n">
        <v>9</v>
      </c>
      <c r="C201" s="36" t="n"/>
      <c r="D201" s="36" t="n"/>
      <c r="E201" s="36" t="n"/>
      <c r="F201" s="36" t="n">
        <v>14.29</v>
      </c>
      <c r="G201" s="36" t="n">
        <v>10.7</v>
      </c>
      <c r="H201" s="36" t="n"/>
      <c r="I201" s="36" t="n"/>
      <c r="J201" s="36" t="n"/>
      <c r="K201" s="36" t="n">
        <v>14.45</v>
      </c>
      <c r="L201" s="36" t="n">
        <v>10.98</v>
      </c>
      <c r="M201" s="36" t="n"/>
      <c r="N201" s="36" t="n"/>
      <c r="O201" s="36" t="n"/>
      <c r="P201" s="36" t="inlineStr">
        <is>
          <t>A3</t>
        </is>
      </c>
      <c r="Q201" s="36" t="inlineStr">
        <is>
          <t>E3</t>
        </is>
      </c>
      <c r="R201" s="38">
        <f>IF(M201="","",LEFT(M201,LEN(M201)-1))</f>
        <v/>
      </c>
      <c r="S201" s="38">
        <f>IF(N201="","",LEFT(N201,LEN(N201)-1))</f>
        <v/>
      </c>
      <c r="T201" s="38">
        <f>IF(O201="","",LEFT(O201,LEN(O201)-1))</f>
        <v/>
      </c>
      <c r="U201" s="38">
        <f>IF(P201="","",LEFT(P201,LEN(P201)-1))</f>
        <v/>
      </c>
      <c r="V201" s="38">
        <f>IF(Q201="","",LEFT(Q201,LEN(Q201)-1))</f>
        <v/>
      </c>
      <c r="W201" s="38">
        <f>IF(M201="","",IFERROR(VALUE(RIGHT(M201,1)),""))</f>
        <v/>
      </c>
      <c r="X201" s="38">
        <f>IF(N201="","",IFERROR(VALUE(RIGHT(N201,1)),""))</f>
        <v/>
      </c>
      <c r="Y201" s="38">
        <f>IF(O201="","",IFERROR(VALUE(RIGHT(O201,1)),""))</f>
        <v/>
      </c>
      <c r="Z201" s="38">
        <f>IF(P201="","",IFERROR(VALUE(RIGHT(P201,1)),""))</f>
        <v/>
      </c>
      <c r="AA201" s="38">
        <f>IF(Q201="","",IFERROR(VALUE(RIGHT(Q201,1)),""))</f>
        <v/>
      </c>
      <c r="AB201" s="38">
        <f>IF(OR(M201="",W201=""),"",IFERROR(ROUND(440*2^((12*(W201+1)+IFERROR(MATCH(R201,{"C","C#","D","D#","E","F","F#","G","G#","A","A#","B"},0)-1,MATCH(R201,{"C","Db","D","Eb","E","F","Gb","G","Ab","A","Bb","B"},0)-1)-69)/12),2),""))</f>
        <v/>
      </c>
      <c r="AC201" s="38">
        <f>IF(OR(N201="",X201=""),"",IFERROR(ROUND(440*2^((12*(X201+1)+IFERROR(MATCH(S201,{"C","C#","D","D#","E","F","F#","G","G#","A","A#","B"},0)-1,MATCH(S201,{"C","Db","D","Eb","E","F","Gb","G","Ab","A","Bb","B"},0)-1)-69)/12),2),""))</f>
        <v/>
      </c>
      <c r="AD201" s="38">
        <f>IF(OR(O201="",Y201=""),"",IFERROR(ROUND(440*2^((12*(Y201+1)+IFERROR(MATCH(T201,{"C","C#","D","D#","E","F","F#","G","G#","A","A#","B"},0)-1,MATCH(T201,{"C","Db","D","Eb","E","F","Gb","G","Ab","A","Bb","B"},0)-1)-69)/12),2),""))</f>
        <v/>
      </c>
      <c r="AE201" s="38">
        <f>IF(OR(P201="",Z201=""),"",IFERROR(ROUND(440*2^((12*(Z201+1)+IFERROR(MATCH(U201,{"C","C#","D","D#","E","F","F#","G","G#","A","A#","B"},0)-1,MATCH(U201,{"C","Db","D","Eb","E","F","Gb","G","Ab","A","Bb","B"},0)-1)-69)/12),2),""))</f>
        <v/>
      </c>
      <c r="AF201" s="38">
        <f>IF(OR(Q201="",AA201=""),"",IFERROR(ROUND(440*2^((12*(AA201+1)+IFERROR(MATCH(V201,{"C","C#","D","D#","E","F","F#","G","G#","A","A#","B"},0)-1,MATCH(V201,{"C","Db","D","Eb","E","F","Gb","G","Ab","A","Bb","B"},0)-1)-69)/12),2),""))</f>
        <v/>
      </c>
      <c r="AG201" s="36" t="n"/>
      <c r="AH201" s="36" t="n"/>
      <c r="AI201" s="36" t="n"/>
      <c r="AJ201" s="36" t="inlineStr">
        <is>
          <t>Low</t>
        </is>
      </c>
      <c r="AK201" s="36" t="inlineStr">
        <is>
          <t>Medium</t>
        </is>
      </c>
      <c r="AL201" s="35" t="n"/>
    </row>
    <row r="202">
      <c r="A202" s="35" t="inlineStr">
        <is>
          <t>TEST_020</t>
        </is>
      </c>
      <c r="B202" s="35" t="n">
        <v>10</v>
      </c>
      <c r="C202" s="36" t="n"/>
      <c r="D202" s="36" t="n"/>
      <c r="E202" s="36" t="n"/>
      <c r="F202" s="36" t="n">
        <v>14.45</v>
      </c>
      <c r="G202" s="36" t="n">
        <v>12.31</v>
      </c>
      <c r="H202" s="36" t="n"/>
      <c r="I202" s="36" t="n"/>
      <c r="J202" s="36" t="n"/>
      <c r="K202" s="36" t="n">
        <v>14.59</v>
      </c>
      <c r="L202" s="36" t="n">
        <v>12.78</v>
      </c>
      <c r="M202" s="36" t="n"/>
      <c r="N202" s="36" t="n"/>
      <c r="O202" s="36" t="n"/>
      <c r="P202" s="36" t="inlineStr">
        <is>
          <t>G#3</t>
        </is>
      </c>
      <c r="Q202" s="36" t="inlineStr">
        <is>
          <t>E2</t>
        </is>
      </c>
      <c r="R202" s="38">
        <f>IF(M202="","",LEFT(M202,LEN(M202)-1))</f>
        <v/>
      </c>
      <c r="S202" s="38">
        <f>IF(N202="","",LEFT(N202,LEN(N202)-1))</f>
        <v/>
      </c>
      <c r="T202" s="38">
        <f>IF(O202="","",LEFT(O202,LEN(O202)-1))</f>
        <v/>
      </c>
      <c r="U202" s="38">
        <f>IF(P202="","",LEFT(P202,LEN(P202)-1))</f>
        <v/>
      </c>
      <c r="V202" s="38">
        <f>IF(Q202="","",LEFT(Q202,LEN(Q202)-1))</f>
        <v/>
      </c>
      <c r="W202" s="38">
        <f>IF(M202="","",IFERROR(VALUE(RIGHT(M202,1)),""))</f>
        <v/>
      </c>
      <c r="X202" s="38">
        <f>IF(N202="","",IFERROR(VALUE(RIGHT(N202,1)),""))</f>
        <v/>
      </c>
      <c r="Y202" s="38">
        <f>IF(O202="","",IFERROR(VALUE(RIGHT(O202,1)),""))</f>
        <v/>
      </c>
      <c r="Z202" s="38">
        <f>IF(P202="","",IFERROR(VALUE(RIGHT(P202,1)),""))</f>
        <v/>
      </c>
      <c r="AA202" s="38">
        <f>IF(Q202="","",IFERROR(VALUE(RIGHT(Q202,1)),""))</f>
        <v/>
      </c>
      <c r="AB202" s="38">
        <f>IF(OR(M202="",W202=""),"",IFERROR(ROUND(440*2^((12*(W202+1)+IFERROR(MATCH(R202,{"C","C#","D","D#","E","F","F#","G","G#","A","A#","B"},0)-1,MATCH(R202,{"C","Db","D","Eb","E","F","Gb","G","Ab","A","Bb","B"},0)-1)-69)/12),2),""))</f>
        <v/>
      </c>
      <c r="AC202" s="38">
        <f>IF(OR(N202="",X202=""),"",IFERROR(ROUND(440*2^((12*(X202+1)+IFERROR(MATCH(S202,{"C","C#","D","D#","E","F","F#","G","G#","A","A#","B"},0)-1,MATCH(S202,{"C","Db","D","Eb","E","F","Gb","G","Ab","A","Bb","B"},0)-1)-69)/12),2),""))</f>
        <v/>
      </c>
      <c r="AD202" s="38">
        <f>IF(OR(O202="",Y202=""),"",IFERROR(ROUND(440*2^((12*(Y202+1)+IFERROR(MATCH(T202,{"C","C#","D","D#","E","F","F#","G","G#","A","A#","B"},0)-1,MATCH(T202,{"C","Db","D","Eb","E","F","Gb","G","Ab","A","Bb","B"},0)-1)-69)/12),2),""))</f>
        <v/>
      </c>
      <c r="AE202" s="38">
        <f>IF(OR(P202="",Z202=""),"",IFERROR(ROUND(440*2^((12*(Z202+1)+IFERROR(MATCH(U202,{"C","C#","D","D#","E","F","F#","G","G#","A","A#","B"},0)-1,MATCH(U202,{"C","Db","D","Eb","E","F","Gb","G","Ab","A","Bb","B"},0)-1)-69)/12),2),""))</f>
        <v/>
      </c>
      <c r="AF202" s="38">
        <f>IF(OR(Q202="",AA202=""),"",IFERROR(ROUND(440*2^((12*(AA202+1)+IFERROR(MATCH(V202,{"C","C#","D","D#","E","F","F#","G","G#","A","A#","B"},0)-1,MATCH(V202,{"C","Db","D","Eb","E","F","Gb","G","Ab","A","Bb","B"},0)-1)-69)/12),2),""))</f>
        <v/>
      </c>
      <c r="AG202" s="36" t="n"/>
      <c r="AH202" s="36" t="n"/>
      <c r="AI202" s="36" t="n"/>
      <c r="AJ202" s="36" t="inlineStr">
        <is>
          <t>Low</t>
        </is>
      </c>
      <c r="AK202" s="36" t="inlineStr">
        <is>
          <t>Low</t>
        </is>
      </c>
      <c r="AL202" s="35" t="n"/>
    </row>
  </sheetData>
  <autoFilter ref="A1:AL202"/>
  <dataValidations count="1">
    <dataValidation sqref="AG2:AK20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1" ySplit="1" topLeftCell="B2" activePane="bottomRight" state="frozen"/>
      <selection activeCell="D109" sqref="D109"/>
      <selection pane="topRight" activeCell="D109" sqref="D109"/>
      <selection pane="bottomLeft" activeCell="D109" sqref="D109"/>
      <selection pane="bottomRight" activeCell="D109" sqref="D109"/>
    </sheetView>
  </sheetViews>
  <sheetFormatPr baseColWidth="8" defaultRowHeight="14.4"/>
  <cols>
    <col width="10" customWidth="1" min="1" max="1"/>
    <col width="15" customWidth="1" min="2" max="29"/>
    <col width="50" customWidth="1" min="30" max="30"/>
  </cols>
  <sheetData>
    <row r="1" ht="48.6" customHeight="1">
      <c r="A1" s="5" t="inlineStr">
        <is>
          <t>Test ID</t>
        </is>
      </c>
      <c r="B1" s="11" t="inlineStr">
        <is>
          <t>Key: Wilsify AI Correct?</t>
        </is>
      </c>
      <c r="C1" s="11" t="inlineStr">
        <is>
          <t>Key: Chord AI Correct?</t>
        </is>
      </c>
      <c r="D1" s="11" t="inlineStr">
        <is>
          <t>Key: Other Repo Correct?</t>
        </is>
      </c>
      <c r="E1" s="11" t="inlineStr">
        <is>
          <t>Key: Claude Correct?</t>
        </is>
      </c>
      <c r="F1" s="9" t="inlineStr">
        <is>
          <t>BPM: Wilsify AI Absolute Error</t>
        </is>
      </c>
      <c r="G1" s="9" t="inlineStr">
        <is>
          <t>BPM: Chord AI Absolute Error</t>
        </is>
      </c>
      <c r="H1" s="9" t="inlineStr">
        <is>
          <t>BPM: Other Repo Absolute Error</t>
        </is>
      </c>
      <c r="I1" s="9" t="inlineStr">
        <is>
          <t>BPM: Claude Absolute Error</t>
        </is>
      </c>
      <c r="J1" s="10" t="inlineStr">
        <is>
          <t>Time Signature: Wilsify AI Correct?</t>
        </is>
      </c>
      <c r="K1" s="10" t="inlineStr">
        <is>
          <t>Time Signature: Chord AI Correct?</t>
        </is>
      </c>
      <c r="L1" s="10" t="inlineStr">
        <is>
          <t>Time Signature: Other Repo Correct?</t>
        </is>
      </c>
      <c r="M1" s="10" t="inlineStr">
        <is>
          <t>Time Signature: Claude Correct?</t>
        </is>
      </c>
      <c r="N1" s="8" t="inlineStr">
        <is>
          <t>Capo: Wilsify AI Correct?</t>
        </is>
      </c>
      <c r="O1" s="8" t="inlineStr">
        <is>
          <t>Capo: Chord AI Correct?</t>
        </is>
      </c>
      <c r="P1" s="8" t="inlineStr">
        <is>
          <t>Capo: Other Repo Correct?</t>
        </is>
      </c>
      <c r="Q1" s="8" t="inlineStr">
        <is>
          <t>Capo: Claude Correct?</t>
        </is>
      </c>
      <c r="R1" s="7" t="inlineStr">
        <is>
          <t>Chords: Wilsify AI Chord Accuracy</t>
        </is>
      </c>
      <c r="S1" s="7" t="inlineStr">
        <is>
          <t>Chords: Chord AI Chord Accuracy</t>
        </is>
      </c>
      <c r="T1" s="7" t="inlineStr">
        <is>
          <t>Chords: Other Repo Chord Accuracy</t>
        </is>
      </c>
      <c r="U1" s="7" t="inlineStr">
        <is>
          <t>Chords: Claude Chord Accuracy</t>
        </is>
      </c>
      <c r="V1" s="7" t="inlineStr">
        <is>
          <t>Chord Timing: Wilsify AI Mean Timing Error (s)</t>
        </is>
      </c>
      <c r="W1" s="7" t="inlineStr">
        <is>
          <t>Chord Timing: Chord AI Mean Timing Error (s)</t>
        </is>
      </c>
      <c r="X1" s="7" t="inlineStr">
        <is>
          <t>Chord Timing: Other Repo Mean Timing Error (s)</t>
        </is>
      </c>
      <c r="Y1" s="7" t="inlineStr">
        <is>
          <t>Chord Timing: Claude Mean Timing Error (s)</t>
        </is>
      </c>
      <c r="Z1" s="7" t="inlineStr">
        <is>
          <t>Notes: Wilsify AI Note Accuracy</t>
        </is>
      </c>
      <c r="AA1" s="7" t="inlineStr">
        <is>
          <t>Notes: Chord AI Note Accuracy</t>
        </is>
      </c>
      <c r="AB1" s="7" t="inlineStr">
        <is>
          <t>Notes: Other Repo Note Accuracy</t>
        </is>
      </c>
      <c r="AC1" s="7" t="inlineStr">
        <is>
          <t>Notes: Claude Note Accuracy</t>
        </is>
      </c>
      <c r="AD1" s="7" t="inlineStr">
        <is>
          <t>Overall comments</t>
        </is>
      </c>
    </row>
    <row r="2">
      <c r="A2" s="13" t="inlineStr">
        <is>
          <t>TEST_001</t>
        </is>
      </c>
      <c r="B2" s="13" t="n"/>
      <c r="C2" s="13" t="n"/>
      <c r="D2" s="13" t="n"/>
      <c r="E2" s="13" t="n"/>
      <c r="F2" s="14">
        <f>IFERROR(IF(AND(ISNUMBER(INDEX(SONG_LEVEL_TRUTH!$I:$I,MATCH($A2,SONG_LEVEL_TRUTH!$A:$A,0))),ISNUMBER(INDEX(SONG_LEVEL_TRUTH!$J:$J,MATCH($A2,SONG_LEVEL_TRUTH!$A:$A,0)))),ABS(INDEX(SONG_LEVEL_TRUTH!$J:$J,MATCH($A2,SONG_LEVEL_TRUTH!$A:$A,0))-INDEX(SONG_LEVEL_TRUTH!$I:$I,MATCH($A2,SONG_LEVEL_TRUTH!$A:$A,0))),""),"")</f>
        <v/>
      </c>
      <c r="G2" s="14">
        <f>IFERROR(IF(AND(ISNUMBER(INDEX(SONG_LEVEL_TRUTH!$I:$I,MATCH($A2,SONG_LEVEL_TRUTH!$A:$A,0))),ISNUMBER(INDEX(SONG_LEVEL_TRUTH!$K:$K,MATCH($A2,SONG_LEVEL_TRUTH!$A:$A,0)))),ABS(INDEX(SONG_LEVEL_TRUTH!$K:$K,MATCH($A2,SONG_LEVEL_TRUTH!$A:$A,0))-INDEX(SONG_LEVEL_TRUTH!$I:$I,MATCH($A2,SONG_LEVEL_TRUTH!$A:$A,0))),""),"")</f>
        <v/>
      </c>
      <c r="H2" s="14">
        <f>IFERROR(IF(AND(ISNUMBER(INDEX(SONG_LEVEL_TRUTH!$I:$I,MATCH($A2,SONG_LEVEL_TRUTH!$A:$A,0))),ISNUMBER(INDEX(SONG_LEVEL_TRUTH!$L:$L,MATCH($A2,SONG_LEVEL_TRUTH!$A:$A,0)))),ABS(INDEX(SONG_LEVEL_TRUTH!$L:$L,MATCH($A2,SONG_LEVEL_TRUTH!$A:$A,0))-INDEX(SONG_LEVEL_TRUTH!$I:$I,MATCH($A2,SONG_LEVEL_TRUTH!$A:$A,0))),""),"")</f>
        <v/>
      </c>
      <c r="I2" s="14">
        <f>IFERROR(IF(AND(ISNUMBER(INDEX(SONG_LEVEL_TRUTH!$I:$I,MATCH($A2,SONG_LEVEL_TRUTH!$A:$A,0))),ISNUMBER(INDEX(SONG_LEVEL_TRUTH!$M:$M,MATCH($A2,SONG_LEVEL_TRUTH!$A:$A,0)))),ABS(INDEX(SONG_LEVEL_TRUTH!$M:$M,MATCH($A2,SONG_LEVEL_TRUTH!$A:$A,0))-INDEX(SONG_LEVEL_TRUTH!$I:$I,MATCH($A2,SONG_LEVEL_TRUTH!$A:$A,0))),""),"")</f>
        <v/>
      </c>
      <c r="J2" s="13">
        <f>IFERROR(IF(AND(ISNUMBER(FIND("/",INDEX(SONG_LEVEL_TRUTH!$N:$N,MATCH($A2,SONG_LEVEL_TRUTH!$A:$A,0)))),ISNUMBER(FIND("/",INDEX(SONG_LEVEL_TRUTH!$O:$O,MATCH($A2,SONG_LEVEL_TRUTH!$A:$A,0)))),NOT(ISNUMBER(FIND("UNKNOWN",INDEX(SONG_LEVEL_TRUTH!$N:$N,MATCH($A2,SONG_LEVEL_TRUTH!$A:$A,0)))))),IF(TRIM(INDEX(SONG_LEVEL_TRUTH!$N:$N,MATCH($A2,SONG_LEVEL_TRUTH!$A:$A,0)))=TRIM(INDEX(SONG_LEVEL_TRUTH!$O:$O,MATCH($A2,SONG_LEVEL_TRUTH!$A:$A,0))),"YES","NO"),""),"")</f>
        <v/>
      </c>
      <c r="K2" s="13">
        <f>IFERROR(IF(AND(ISNUMBER(FIND("/",INDEX(SONG_LEVEL_TRUTH!$N:$N,MATCH($A2,SONG_LEVEL_TRUTH!$A:$A,0)))),ISNUMBER(FIND("/",INDEX(SONG_LEVEL_TRUTH!$P:$P,MATCH($A2,SONG_LEVEL_TRUTH!$A:$A,0)))),NOT(ISNUMBER(FIND("UNKNOWN",INDEX(SONG_LEVEL_TRUTH!$N:$N,MATCH($A2,SONG_LEVEL_TRUTH!$A:$A,0)))))),IF(TRIM(INDEX(SONG_LEVEL_TRUTH!$N:$N,MATCH($A2,SONG_LEVEL_TRUTH!$A:$A,0)))=TRIM(INDEX(SONG_LEVEL_TRUTH!$P:$P,MATCH($A2,SONG_LEVEL_TRUTH!$A:$A,0))),"YES","NO"),""),"")</f>
        <v/>
      </c>
      <c r="L2" s="13">
        <f>IFERROR(IF(AND(ISNUMBER(FIND("/",INDEX(SONG_LEVEL_TRUTH!$N:$N,MATCH($A2,SONG_LEVEL_TRUTH!$A:$A,0)))),ISNUMBER(FIND("/",INDEX(SONG_LEVEL_TRUTH!$Q:$Q,MATCH($A2,SONG_LEVEL_TRUTH!$A:$A,0)))),NOT(ISNUMBER(FIND("UNKNOWN",INDEX(SONG_LEVEL_TRUTH!$N:$N,MATCH($A2,SONG_LEVEL_TRUTH!$A:$A,0)))))),IF(TRIM(INDEX(SONG_LEVEL_TRUTH!$N:$N,MATCH($A2,SONG_LEVEL_TRUTH!$A:$A,0)))=TRIM(INDEX(SONG_LEVEL_TRUTH!$Q:$Q,MATCH($A2,SONG_LEVEL_TRUTH!$A:$A,0))),"YES","NO"),""),"")</f>
        <v/>
      </c>
      <c r="M2" s="13">
        <f>IFERROR(IF(AND(ISNUMBER(FIND("/",INDEX(SONG_LEVEL_TRUTH!$N:$N,MATCH($A2,SONG_LEVEL_TRUTH!$A:$A,0)))),ISNUMBER(FIND("/",INDEX(SONG_LEVEL_TRUTH!$R:$R,MATCH($A2,SONG_LEVEL_TRUTH!$A:$A,0)))),NOT(ISNUMBER(FIND("UNKNOWN",INDEX(SONG_LEVEL_TRUTH!$N:$N,MATCH($A2,SONG_LEVEL_TRUTH!$A:$A,0)))))),IF(TRIM(INDEX(SONG_LEVEL_TRUTH!$N:$N,MATCH($A2,SONG_LEVEL_TRUTH!$A:$A,0)))=TRIM(INDEX(SONG_LEVEL_TRUTH!$R:$R,MATCH($A2,SONG_LEVEL_TRUTH!$A:$A,0))),"YES","NO"),""),"")</f>
        <v/>
      </c>
      <c r="N2" s="13">
        <f>IFERROR(IF(AND(ISNUMBER(INDEX(SONG_LEVEL_TRUTH!$D:$D,MATCH($A2,SONG_LEVEL_TRUTH!$A:$A,0))),ISNUMBER(INDEX(SONG_LEVEL_TRUTH!$E:$E,MATCH($A2,SONG_LEVEL_TRUTH!$A:$A,0)))),IF(INDEX(SONG_LEVEL_TRUTH!$D:$D,MATCH($A2,SONG_LEVEL_TRUTH!$A:$A,0))=INDEX(SONG_LEVEL_TRUTH!$E:$E,MATCH($A2,SONG_LEVEL_TRUTH!$A:$A,0)),"YES","NO"),""),"")</f>
        <v/>
      </c>
      <c r="O2" s="13">
        <f>IFERROR(IF(AND(ISNUMBER(INDEX(SONG_LEVEL_TRUTH!$D:$D,MATCH($A2,SONG_LEVEL_TRUTH!$A:$A,0))),ISNUMBER(INDEX(SONG_LEVEL_TRUTH!$F:$F,MATCH($A2,SONG_LEVEL_TRUTH!$A:$A,0)))),IF(INDEX(SONG_LEVEL_TRUTH!$D:$D,MATCH($A2,SONG_LEVEL_TRUTH!$A:$A,0))=INDEX(SONG_LEVEL_TRUTH!$F:$F,MATCH($A2,SONG_LEVEL_TRUTH!$A:$A,0)),"YES","NO"),""),"")</f>
        <v/>
      </c>
      <c r="P2" s="13">
        <f>IFERROR(IF(AND(ISNUMBER(INDEX(SONG_LEVEL_TRUTH!$D:$D,MATCH($A2,SONG_LEVEL_TRUTH!$A:$A,0))),ISNUMBER(INDEX(SONG_LEVEL_TRUTH!$G:$G,MATCH($A2,SONG_LEVEL_TRUTH!$A:$A,0)))),IF(INDEX(SONG_LEVEL_TRUTH!$D:$D,MATCH($A2,SONG_LEVEL_TRUTH!$A:$A,0))=INDEX(SONG_LEVEL_TRUTH!$G:$G,MATCH($A2,SONG_LEVEL_TRUTH!$A:$A,0)),"YES","NO"),""),"")</f>
        <v/>
      </c>
      <c r="Q2" s="13">
        <f>IFERROR(IF(AND(ISNUMBER(INDEX(SONG_LEVEL_TRUTH!$D:$D,MATCH($A2,SONG_LEVEL_TRUTH!$A:$A,0))),ISNUMBER(INDEX(SONG_LEVEL_TRUTH!$H:$H,MATCH($A2,SONG_LEVEL_TRUTH!$A:$A,0)))),IF(INDEX(SONG_LEVEL_TRUTH!$D:$D,MATCH($A2,SONG_LEVEL_TRUTH!$A:$A,0))=INDEX(SONG_LEVEL_TRUTH!$H:$H,MATCH($A2,SONG_LEVEL_TRUTH!$A:$A,0)),"YES","NO"),""),"")</f>
        <v/>
      </c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>
      <c r="A3" s="13" t="inlineStr">
        <is>
          <t>TEST_002</t>
        </is>
      </c>
      <c r="B3" s="13" t="n"/>
      <c r="C3" s="13" t="n"/>
      <c r="D3" s="13" t="n"/>
      <c r="E3" s="13" t="n"/>
      <c r="F3" s="14">
        <f>IFERROR(IF(AND(ISNUMBER(INDEX(SONG_LEVEL_TRUTH!$I:$I,MATCH($A3,SONG_LEVEL_TRUTH!$A:$A,0))),ISNUMBER(INDEX(SONG_LEVEL_TRUTH!$J:$J,MATCH($A3,SONG_LEVEL_TRUTH!$A:$A,0)))),ABS(INDEX(SONG_LEVEL_TRUTH!$J:$J,MATCH($A3,SONG_LEVEL_TRUTH!$A:$A,0))-INDEX(SONG_LEVEL_TRUTH!$I:$I,MATCH($A3,SONG_LEVEL_TRUTH!$A:$A,0))),""),"")</f>
        <v/>
      </c>
      <c r="G3" s="14">
        <f>IFERROR(IF(AND(ISNUMBER(INDEX(SONG_LEVEL_TRUTH!$I:$I,MATCH($A3,SONG_LEVEL_TRUTH!$A:$A,0))),ISNUMBER(INDEX(SONG_LEVEL_TRUTH!$K:$K,MATCH($A3,SONG_LEVEL_TRUTH!$A:$A,0)))),ABS(INDEX(SONG_LEVEL_TRUTH!$K:$K,MATCH($A3,SONG_LEVEL_TRUTH!$A:$A,0))-INDEX(SONG_LEVEL_TRUTH!$I:$I,MATCH($A3,SONG_LEVEL_TRUTH!$A:$A,0))),""),"")</f>
        <v/>
      </c>
      <c r="H3" s="14">
        <f>IFERROR(IF(AND(ISNUMBER(INDEX(SONG_LEVEL_TRUTH!$I:$I,MATCH($A3,SONG_LEVEL_TRUTH!$A:$A,0))),ISNUMBER(INDEX(SONG_LEVEL_TRUTH!$L:$L,MATCH($A3,SONG_LEVEL_TRUTH!$A:$A,0)))),ABS(INDEX(SONG_LEVEL_TRUTH!$L:$L,MATCH($A3,SONG_LEVEL_TRUTH!$A:$A,0))-INDEX(SONG_LEVEL_TRUTH!$I:$I,MATCH($A3,SONG_LEVEL_TRUTH!$A:$A,0))),""),"")</f>
        <v/>
      </c>
      <c r="I3" s="14">
        <f>IFERROR(IF(AND(ISNUMBER(INDEX(SONG_LEVEL_TRUTH!$I:$I,MATCH($A3,SONG_LEVEL_TRUTH!$A:$A,0))),ISNUMBER(INDEX(SONG_LEVEL_TRUTH!$M:$M,MATCH($A3,SONG_LEVEL_TRUTH!$A:$A,0)))),ABS(INDEX(SONG_LEVEL_TRUTH!$M:$M,MATCH($A3,SONG_LEVEL_TRUTH!$A:$A,0))-INDEX(SONG_LEVEL_TRUTH!$I:$I,MATCH($A3,SONG_LEVEL_TRUTH!$A:$A,0))),""),"")</f>
        <v/>
      </c>
      <c r="J3" s="13">
        <f>IFERROR(IF(AND(ISNUMBER(FIND("/",INDEX(SONG_LEVEL_TRUTH!$N:$N,MATCH($A3,SONG_LEVEL_TRUTH!$A:$A,0)))),ISNUMBER(FIND("/",INDEX(SONG_LEVEL_TRUTH!$O:$O,MATCH($A3,SONG_LEVEL_TRUTH!$A:$A,0)))),NOT(ISNUMBER(FIND("UNKNOWN",INDEX(SONG_LEVEL_TRUTH!$N:$N,MATCH($A3,SONG_LEVEL_TRUTH!$A:$A,0)))))),IF(TRIM(INDEX(SONG_LEVEL_TRUTH!$N:$N,MATCH($A3,SONG_LEVEL_TRUTH!$A:$A,0)))=TRIM(INDEX(SONG_LEVEL_TRUTH!$O:$O,MATCH($A3,SONG_LEVEL_TRUTH!$A:$A,0))),"YES","NO"),""),"")</f>
        <v/>
      </c>
      <c r="K3" s="13">
        <f>IFERROR(IF(AND(ISNUMBER(FIND("/",INDEX(SONG_LEVEL_TRUTH!$N:$N,MATCH($A3,SONG_LEVEL_TRUTH!$A:$A,0)))),ISNUMBER(FIND("/",INDEX(SONG_LEVEL_TRUTH!$P:$P,MATCH($A3,SONG_LEVEL_TRUTH!$A:$A,0)))),NOT(ISNUMBER(FIND("UNKNOWN",INDEX(SONG_LEVEL_TRUTH!$N:$N,MATCH($A3,SONG_LEVEL_TRUTH!$A:$A,0)))))),IF(TRIM(INDEX(SONG_LEVEL_TRUTH!$N:$N,MATCH($A3,SONG_LEVEL_TRUTH!$A:$A,0)))=TRIM(INDEX(SONG_LEVEL_TRUTH!$P:$P,MATCH($A3,SONG_LEVEL_TRUTH!$A:$A,0))),"YES","NO"),""),"")</f>
        <v/>
      </c>
      <c r="L3" s="13">
        <f>IFERROR(IF(AND(ISNUMBER(FIND("/",INDEX(SONG_LEVEL_TRUTH!$N:$N,MATCH($A3,SONG_LEVEL_TRUTH!$A:$A,0)))),ISNUMBER(FIND("/",INDEX(SONG_LEVEL_TRUTH!$Q:$Q,MATCH($A3,SONG_LEVEL_TRUTH!$A:$A,0)))),NOT(ISNUMBER(FIND("UNKNOWN",INDEX(SONG_LEVEL_TRUTH!$N:$N,MATCH($A3,SONG_LEVEL_TRUTH!$A:$A,0)))))),IF(TRIM(INDEX(SONG_LEVEL_TRUTH!$N:$N,MATCH($A3,SONG_LEVEL_TRUTH!$A:$A,0)))=TRIM(INDEX(SONG_LEVEL_TRUTH!$Q:$Q,MATCH($A3,SONG_LEVEL_TRUTH!$A:$A,0))),"YES","NO"),""),"")</f>
        <v/>
      </c>
      <c r="M3" s="13">
        <f>IFERROR(IF(AND(ISNUMBER(FIND("/",INDEX(SONG_LEVEL_TRUTH!$N:$N,MATCH($A3,SONG_LEVEL_TRUTH!$A:$A,0)))),ISNUMBER(FIND("/",INDEX(SONG_LEVEL_TRUTH!$R:$R,MATCH($A3,SONG_LEVEL_TRUTH!$A:$A,0)))),NOT(ISNUMBER(FIND("UNKNOWN",INDEX(SONG_LEVEL_TRUTH!$N:$N,MATCH($A3,SONG_LEVEL_TRUTH!$A:$A,0)))))),IF(TRIM(INDEX(SONG_LEVEL_TRUTH!$N:$N,MATCH($A3,SONG_LEVEL_TRUTH!$A:$A,0)))=TRIM(INDEX(SONG_LEVEL_TRUTH!$R:$R,MATCH($A3,SONG_LEVEL_TRUTH!$A:$A,0))),"YES","NO"),""),"")</f>
        <v/>
      </c>
      <c r="N3" s="13">
        <f>IFERROR(IF(AND(ISNUMBER(INDEX(SONG_LEVEL_TRUTH!$D:$D,MATCH($A3,SONG_LEVEL_TRUTH!$A:$A,0))),ISNUMBER(INDEX(SONG_LEVEL_TRUTH!$E:$E,MATCH($A3,SONG_LEVEL_TRUTH!$A:$A,0)))),IF(INDEX(SONG_LEVEL_TRUTH!$D:$D,MATCH($A3,SONG_LEVEL_TRUTH!$A:$A,0))=INDEX(SONG_LEVEL_TRUTH!$E:$E,MATCH($A3,SONG_LEVEL_TRUTH!$A:$A,0)),"YES","NO"),""),"")</f>
        <v/>
      </c>
      <c r="O3" s="13">
        <f>IFERROR(IF(AND(ISNUMBER(INDEX(SONG_LEVEL_TRUTH!$D:$D,MATCH($A3,SONG_LEVEL_TRUTH!$A:$A,0))),ISNUMBER(INDEX(SONG_LEVEL_TRUTH!$F:$F,MATCH($A3,SONG_LEVEL_TRUTH!$A:$A,0)))),IF(INDEX(SONG_LEVEL_TRUTH!$D:$D,MATCH($A3,SONG_LEVEL_TRUTH!$A:$A,0))=INDEX(SONG_LEVEL_TRUTH!$F:$F,MATCH($A3,SONG_LEVEL_TRUTH!$A:$A,0)),"YES","NO"),""),"")</f>
        <v/>
      </c>
      <c r="P3" s="13">
        <f>IFERROR(IF(AND(ISNUMBER(INDEX(SONG_LEVEL_TRUTH!$D:$D,MATCH($A3,SONG_LEVEL_TRUTH!$A:$A,0))),ISNUMBER(INDEX(SONG_LEVEL_TRUTH!$G:$G,MATCH($A3,SONG_LEVEL_TRUTH!$A:$A,0)))),IF(INDEX(SONG_LEVEL_TRUTH!$D:$D,MATCH($A3,SONG_LEVEL_TRUTH!$A:$A,0))=INDEX(SONG_LEVEL_TRUTH!$G:$G,MATCH($A3,SONG_LEVEL_TRUTH!$A:$A,0)),"YES","NO"),""),"")</f>
        <v/>
      </c>
      <c r="Q3" s="13">
        <f>IFERROR(IF(AND(ISNUMBER(INDEX(SONG_LEVEL_TRUTH!$D:$D,MATCH($A3,SONG_LEVEL_TRUTH!$A:$A,0))),ISNUMBER(INDEX(SONG_LEVEL_TRUTH!$H:$H,MATCH($A3,SONG_LEVEL_TRUTH!$A:$A,0)))),IF(INDEX(SONG_LEVEL_TRUTH!$D:$D,MATCH($A3,SONG_LEVEL_TRUTH!$A:$A,0))=INDEX(SONG_LEVEL_TRUTH!$H:$H,MATCH($A3,SONG_LEVEL_TRUTH!$A:$A,0)),"YES","NO"),""),"")</f>
        <v/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>
      <c r="A4" s="13" t="inlineStr">
        <is>
          <t>TEST_003</t>
        </is>
      </c>
      <c r="B4" s="13" t="n"/>
      <c r="C4" s="13" t="n"/>
      <c r="D4" s="13" t="n"/>
      <c r="E4" s="13" t="n"/>
      <c r="F4" s="14">
        <f>IFERROR(IF(AND(ISNUMBER(INDEX(SONG_LEVEL_TRUTH!$I:$I,MATCH($A4,SONG_LEVEL_TRUTH!$A:$A,0))),ISNUMBER(INDEX(SONG_LEVEL_TRUTH!$J:$J,MATCH($A4,SONG_LEVEL_TRUTH!$A:$A,0)))),ABS(INDEX(SONG_LEVEL_TRUTH!$J:$J,MATCH($A4,SONG_LEVEL_TRUTH!$A:$A,0))-INDEX(SONG_LEVEL_TRUTH!$I:$I,MATCH($A4,SONG_LEVEL_TRUTH!$A:$A,0))),""),"")</f>
        <v/>
      </c>
      <c r="G4" s="14">
        <f>IFERROR(IF(AND(ISNUMBER(INDEX(SONG_LEVEL_TRUTH!$I:$I,MATCH($A4,SONG_LEVEL_TRUTH!$A:$A,0))),ISNUMBER(INDEX(SONG_LEVEL_TRUTH!$K:$K,MATCH($A4,SONG_LEVEL_TRUTH!$A:$A,0)))),ABS(INDEX(SONG_LEVEL_TRUTH!$K:$K,MATCH($A4,SONG_LEVEL_TRUTH!$A:$A,0))-INDEX(SONG_LEVEL_TRUTH!$I:$I,MATCH($A4,SONG_LEVEL_TRUTH!$A:$A,0))),""),"")</f>
        <v/>
      </c>
      <c r="H4" s="14">
        <f>IFERROR(IF(AND(ISNUMBER(INDEX(SONG_LEVEL_TRUTH!$I:$I,MATCH($A4,SONG_LEVEL_TRUTH!$A:$A,0))),ISNUMBER(INDEX(SONG_LEVEL_TRUTH!$L:$L,MATCH($A4,SONG_LEVEL_TRUTH!$A:$A,0)))),ABS(INDEX(SONG_LEVEL_TRUTH!$L:$L,MATCH($A4,SONG_LEVEL_TRUTH!$A:$A,0))-INDEX(SONG_LEVEL_TRUTH!$I:$I,MATCH($A4,SONG_LEVEL_TRUTH!$A:$A,0))),""),"")</f>
        <v/>
      </c>
      <c r="I4" s="14">
        <f>IFERROR(IF(AND(ISNUMBER(INDEX(SONG_LEVEL_TRUTH!$I:$I,MATCH($A4,SONG_LEVEL_TRUTH!$A:$A,0))),ISNUMBER(INDEX(SONG_LEVEL_TRUTH!$M:$M,MATCH($A4,SONG_LEVEL_TRUTH!$A:$A,0)))),ABS(INDEX(SONG_LEVEL_TRUTH!$M:$M,MATCH($A4,SONG_LEVEL_TRUTH!$A:$A,0))-INDEX(SONG_LEVEL_TRUTH!$I:$I,MATCH($A4,SONG_LEVEL_TRUTH!$A:$A,0))),""),"")</f>
        <v/>
      </c>
      <c r="J4" s="13">
        <f>IFERROR(IF(AND(ISNUMBER(FIND("/",INDEX(SONG_LEVEL_TRUTH!$N:$N,MATCH($A4,SONG_LEVEL_TRUTH!$A:$A,0)))),ISNUMBER(FIND("/",INDEX(SONG_LEVEL_TRUTH!$O:$O,MATCH($A4,SONG_LEVEL_TRUTH!$A:$A,0)))),NOT(ISNUMBER(FIND("UNKNOWN",INDEX(SONG_LEVEL_TRUTH!$N:$N,MATCH($A4,SONG_LEVEL_TRUTH!$A:$A,0)))))),IF(TRIM(INDEX(SONG_LEVEL_TRUTH!$N:$N,MATCH($A4,SONG_LEVEL_TRUTH!$A:$A,0)))=TRIM(INDEX(SONG_LEVEL_TRUTH!$O:$O,MATCH($A4,SONG_LEVEL_TRUTH!$A:$A,0))),"YES","NO"),""),"")</f>
        <v/>
      </c>
      <c r="K4" s="13">
        <f>IFERROR(IF(AND(ISNUMBER(FIND("/",INDEX(SONG_LEVEL_TRUTH!$N:$N,MATCH($A4,SONG_LEVEL_TRUTH!$A:$A,0)))),ISNUMBER(FIND("/",INDEX(SONG_LEVEL_TRUTH!$P:$P,MATCH($A4,SONG_LEVEL_TRUTH!$A:$A,0)))),NOT(ISNUMBER(FIND("UNKNOWN",INDEX(SONG_LEVEL_TRUTH!$N:$N,MATCH($A4,SONG_LEVEL_TRUTH!$A:$A,0)))))),IF(TRIM(INDEX(SONG_LEVEL_TRUTH!$N:$N,MATCH($A4,SONG_LEVEL_TRUTH!$A:$A,0)))=TRIM(INDEX(SONG_LEVEL_TRUTH!$P:$P,MATCH($A4,SONG_LEVEL_TRUTH!$A:$A,0))),"YES","NO"),""),"")</f>
        <v/>
      </c>
      <c r="L4" s="13">
        <f>IFERROR(IF(AND(ISNUMBER(FIND("/",INDEX(SONG_LEVEL_TRUTH!$N:$N,MATCH($A4,SONG_LEVEL_TRUTH!$A:$A,0)))),ISNUMBER(FIND("/",INDEX(SONG_LEVEL_TRUTH!$Q:$Q,MATCH($A4,SONG_LEVEL_TRUTH!$A:$A,0)))),NOT(ISNUMBER(FIND("UNKNOWN",INDEX(SONG_LEVEL_TRUTH!$N:$N,MATCH($A4,SONG_LEVEL_TRUTH!$A:$A,0)))))),IF(TRIM(INDEX(SONG_LEVEL_TRUTH!$N:$N,MATCH($A4,SONG_LEVEL_TRUTH!$A:$A,0)))=TRIM(INDEX(SONG_LEVEL_TRUTH!$Q:$Q,MATCH($A4,SONG_LEVEL_TRUTH!$A:$A,0))),"YES","NO"),""),"")</f>
        <v/>
      </c>
      <c r="M4" s="13">
        <f>IFERROR(IF(AND(ISNUMBER(FIND("/",INDEX(SONG_LEVEL_TRUTH!$N:$N,MATCH($A4,SONG_LEVEL_TRUTH!$A:$A,0)))),ISNUMBER(FIND("/",INDEX(SONG_LEVEL_TRUTH!$R:$R,MATCH($A4,SONG_LEVEL_TRUTH!$A:$A,0)))),NOT(ISNUMBER(FIND("UNKNOWN",INDEX(SONG_LEVEL_TRUTH!$N:$N,MATCH($A4,SONG_LEVEL_TRUTH!$A:$A,0)))))),IF(TRIM(INDEX(SONG_LEVEL_TRUTH!$N:$N,MATCH($A4,SONG_LEVEL_TRUTH!$A:$A,0)))=TRIM(INDEX(SONG_LEVEL_TRUTH!$R:$R,MATCH($A4,SONG_LEVEL_TRUTH!$A:$A,0))),"YES","NO"),""),"")</f>
        <v/>
      </c>
      <c r="N4" s="13">
        <f>IFERROR(IF(AND(ISNUMBER(INDEX(SONG_LEVEL_TRUTH!$D:$D,MATCH($A4,SONG_LEVEL_TRUTH!$A:$A,0))),ISNUMBER(INDEX(SONG_LEVEL_TRUTH!$E:$E,MATCH($A4,SONG_LEVEL_TRUTH!$A:$A,0)))),IF(INDEX(SONG_LEVEL_TRUTH!$D:$D,MATCH($A4,SONG_LEVEL_TRUTH!$A:$A,0))=INDEX(SONG_LEVEL_TRUTH!$E:$E,MATCH($A4,SONG_LEVEL_TRUTH!$A:$A,0)),"YES","NO"),""),"")</f>
        <v/>
      </c>
      <c r="O4" s="13">
        <f>IFERROR(IF(AND(ISNUMBER(INDEX(SONG_LEVEL_TRUTH!$D:$D,MATCH($A4,SONG_LEVEL_TRUTH!$A:$A,0))),ISNUMBER(INDEX(SONG_LEVEL_TRUTH!$F:$F,MATCH($A4,SONG_LEVEL_TRUTH!$A:$A,0)))),IF(INDEX(SONG_LEVEL_TRUTH!$D:$D,MATCH($A4,SONG_LEVEL_TRUTH!$A:$A,0))=INDEX(SONG_LEVEL_TRUTH!$F:$F,MATCH($A4,SONG_LEVEL_TRUTH!$A:$A,0)),"YES","NO"),""),"")</f>
        <v/>
      </c>
      <c r="P4" s="13">
        <f>IFERROR(IF(AND(ISNUMBER(INDEX(SONG_LEVEL_TRUTH!$D:$D,MATCH($A4,SONG_LEVEL_TRUTH!$A:$A,0))),ISNUMBER(INDEX(SONG_LEVEL_TRUTH!$G:$G,MATCH($A4,SONG_LEVEL_TRUTH!$A:$A,0)))),IF(INDEX(SONG_LEVEL_TRUTH!$D:$D,MATCH($A4,SONG_LEVEL_TRUTH!$A:$A,0))=INDEX(SONG_LEVEL_TRUTH!$G:$G,MATCH($A4,SONG_LEVEL_TRUTH!$A:$A,0)),"YES","NO"),""),"")</f>
        <v/>
      </c>
      <c r="Q4" s="13">
        <f>IFERROR(IF(AND(ISNUMBER(INDEX(SONG_LEVEL_TRUTH!$D:$D,MATCH($A4,SONG_LEVEL_TRUTH!$A:$A,0))),ISNUMBER(INDEX(SONG_LEVEL_TRUTH!$H:$H,MATCH($A4,SONG_LEVEL_TRUTH!$A:$A,0)))),IF(INDEX(SONG_LEVEL_TRUTH!$D:$D,MATCH($A4,SONG_LEVEL_TRUTH!$A:$A,0))=INDEX(SONG_LEVEL_TRUTH!$H:$H,MATCH($A4,SONG_LEVEL_TRUTH!$A:$A,0)),"YES","NO"),""),"")</f>
        <v/>
      </c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>
      <c r="A5" s="13" t="inlineStr">
        <is>
          <t>TEST_004</t>
        </is>
      </c>
      <c r="B5" s="13" t="n"/>
      <c r="C5" s="13" t="n"/>
      <c r="D5" s="13" t="n"/>
      <c r="E5" s="13" t="n"/>
      <c r="F5" s="14">
        <f>IFERROR(IF(AND(ISNUMBER(INDEX(SONG_LEVEL_TRUTH!$I:$I,MATCH($A5,SONG_LEVEL_TRUTH!$A:$A,0))),ISNUMBER(INDEX(SONG_LEVEL_TRUTH!$J:$J,MATCH($A5,SONG_LEVEL_TRUTH!$A:$A,0)))),ABS(INDEX(SONG_LEVEL_TRUTH!$J:$J,MATCH($A5,SONG_LEVEL_TRUTH!$A:$A,0))-INDEX(SONG_LEVEL_TRUTH!$I:$I,MATCH($A5,SONG_LEVEL_TRUTH!$A:$A,0))),""),"")</f>
        <v/>
      </c>
      <c r="G5" s="14">
        <f>IFERROR(IF(AND(ISNUMBER(INDEX(SONG_LEVEL_TRUTH!$I:$I,MATCH($A5,SONG_LEVEL_TRUTH!$A:$A,0))),ISNUMBER(INDEX(SONG_LEVEL_TRUTH!$K:$K,MATCH($A5,SONG_LEVEL_TRUTH!$A:$A,0)))),ABS(INDEX(SONG_LEVEL_TRUTH!$K:$K,MATCH($A5,SONG_LEVEL_TRUTH!$A:$A,0))-INDEX(SONG_LEVEL_TRUTH!$I:$I,MATCH($A5,SONG_LEVEL_TRUTH!$A:$A,0))),""),"")</f>
        <v/>
      </c>
      <c r="H5" s="14">
        <f>IFERROR(IF(AND(ISNUMBER(INDEX(SONG_LEVEL_TRUTH!$I:$I,MATCH($A5,SONG_LEVEL_TRUTH!$A:$A,0))),ISNUMBER(INDEX(SONG_LEVEL_TRUTH!$L:$L,MATCH($A5,SONG_LEVEL_TRUTH!$A:$A,0)))),ABS(INDEX(SONG_LEVEL_TRUTH!$L:$L,MATCH($A5,SONG_LEVEL_TRUTH!$A:$A,0))-INDEX(SONG_LEVEL_TRUTH!$I:$I,MATCH($A5,SONG_LEVEL_TRUTH!$A:$A,0))),""),"")</f>
        <v/>
      </c>
      <c r="I5" s="14">
        <f>IFERROR(IF(AND(ISNUMBER(INDEX(SONG_LEVEL_TRUTH!$I:$I,MATCH($A5,SONG_LEVEL_TRUTH!$A:$A,0))),ISNUMBER(INDEX(SONG_LEVEL_TRUTH!$M:$M,MATCH($A5,SONG_LEVEL_TRUTH!$A:$A,0)))),ABS(INDEX(SONG_LEVEL_TRUTH!$M:$M,MATCH($A5,SONG_LEVEL_TRUTH!$A:$A,0))-INDEX(SONG_LEVEL_TRUTH!$I:$I,MATCH($A5,SONG_LEVEL_TRUTH!$A:$A,0))),""),"")</f>
        <v/>
      </c>
      <c r="J5" s="13">
        <f>IFERROR(IF(AND(ISNUMBER(FIND("/",INDEX(SONG_LEVEL_TRUTH!$N:$N,MATCH($A5,SONG_LEVEL_TRUTH!$A:$A,0)))),ISNUMBER(FIND("/",INDEX(SONG_LEVEL_TRUTH!$O:$O,MATCH($A5,SONG_LEVEL_TRUTH!$A:$A,0)))),NOT(ISNUMBER(FIND("UNKNOWN",INDEX(SONG_LEVEL_TRUTH!$N:$N,MATCH($A5,SONG_LEVEL_TRUTH!$A:$A,0)))))),IF(TRIM(INDEX(SONG_LEVEL_TRUTH!$N:$N,MATCH($A5,SONG_LEVEL_TRUTH!$A:$A,0)))=TRIM(INDEX(SONG_LEVEL_TRUTH!$O:$O,MATCH($A5,SONG_LEVEL_TRUTH!$A:$A,0))),"YES","NO"),""),"")</f>
        <v/>
      </c>
      <c r="K5" s="13">
        <f>IFERROR(IF(AND(ISNUMBER(FIND("/",INDEX(SONG_LEVEL_TRUTH!$N:$N,MATCH($A5,SONG_LEVEL_TRUTH!$A:$A,0)))),ISNUMBER(FIND("/",INDEX(SONG_LEVEL_TRUTH!$P:$P,MATCH($A5,SONG_LEVEL_TRUTH!$A:$A,0)))),NOT(ISNUMBER(FIND("UNKNOWN",INDEX(SONG_LEVEL_TRUTH!$N:$N,MATCH($A5,SONG_LEVEL_TRUTH!$A:$A,0)))))),IF(TRIM(INDEX(SONG_LEVEL_TRUTH!$N:$N,MATCH($A5,SONG_LEVEL_TRUTH!$A:$A,0)))=TRIM(INDEX(SONG_LEVEL_TRUTH!$P:$P,MATCH($A5,SONG_LEVEL_TRUTH!$A:$A,0))),"YES","NO"),""),"")</f>
        <v/>
      </c>
      <c r="L5" s="13">
        <f>IFERROR(IF(AND(ISNUMBER(FIND("/",INDEX(SONG_LEVEL_TRUTH!$N:$N,MATCH($A5,SONG_LEVEL_TRUTH!$A:$A,0)))),ISNUMBER(FIND("/",INDEX(SONG_LEVEL_TRUTH!$Q:$Q,MATCH($A5,SONG_LEVEL_TRUTH!$A:$A,0)))),NOT(ISNUMBER(FIND("UNKNOWN",INDEX(SONG_LEVEL_TRUTH!$N:$N,MATCH($A5,SONG_LEVEL_TRUTH!$A:$A,0)))))),IF(TRIM(INDEX(SONG_LEVEL_TRUTH!$N:$N,MATCH($A5,SONG_LEVEL_TRUTH!$A:$A,0)))=TRIM(INDEX(SONG_LEVEL_TRUTH!$Q:$Q,MATCH($A5,SONG_LEVEL_TRUTH!$A:$A,0))),"YES","NO"),""),"")</f>
        <v/>
      </c>
      <c r="M5" s="13">
        <f>IFERROR(IF(AND(ISNUMBER(FIND("/",INDEX(SONG_LEVEL_TRUTH!$N:$N,MATCH($A5,SONG_LEVEL_TRUTH!$A:$A,0)))),ISNUMBER(FIND("/",INDEX(SONG_LEVEL_TRUTH!$R:$R,MATCH($A5,SONG_LEVEL_TRUTH!$A:$A,0)))),NOT(ISNUMBER(FIND("UNKNOWN",INDEX(SONG_LEVEL_TRUTH!$N:$N,MATCH($A5,SONG_LEVEL_TRUTH!$A:$A,0)))))),IF(TRIM(INDEX(SONG_LEVEL_TRUTH!$N:$N,MATCH($A5,SONG_LEVEL_TRUTH!$A:$A,0)))=TRIM(INDEX(SONG_LEVEL_TRUTH!$R:$R,MATCH($A5,SONG_LEVEL_TRUTH!$A:$A,0))),"YES","NO"),""),"")</f>
        <v/>
      </c>
      <c r="N5" s="13">
        <f>IFERROR(IF(AND(ISNUMBER(INDEX(SONG_LEVEL_TRUTH!$D:$D,MATCH($A5,SONG_LEVEL_TRUTH!$A:$A,0))),ISNUMBER(INDEX(SONG_LEVEL_TRUTH!$E:$E,MATCH($A5,SONG_LEVEL_TRUTH!$A:$A,0)))),IF(INDEX(SONG_LEVEL_TRUTH!$D:$D,MATCH($A5,SONG_LEVEL_TRUTH!$A:$A,0))=INDEX(SONG_LEVEL_TRUTH!$E:$E,MATCH($A5,SONG_LEVEL_TRUTH!$A:$A,0)),"YES","NO"),""),"")</f>
        <v/>
      </c>
      <c r="O5" s="13">
        <f>IFERROR(IF(AND(ISNUMBER(INDEX(SONG_LEVEL_TRUTH!$D:$D,MATCH($A5,SONG_LEVEL_TRUTH!$A:$A,0))),ISNUMBER(INDEX(SONG_LEVEL_TRUTH!$F:$F,MATCH($A5,SONG_LEVEL_TRUTH!$A:$A,0)))),IF(INDEX(SONG_LEVEL_TRUTH!$D:$D,MATCH($A5,SONG_LEVEL_TRUTH!$A:$A,0))=INDEX(SONG_LEVEL_TRUTH!$F:$F,MATCH($A5,SONG_LEVEL_TRUTH!$A:$A,0)),"YES","NO"),""),"")</f>
        <v/>
      </c>
      <c r="P5" s="13">
        <f>IFERROR(IF(AND(ISNUMBER(INDEX(SONG_LEVEL_TRUTH!$D:$D,MATCH($A5,SONG_LEVEL_TRUTH!$A:$A,0))),ISNUMBER(INDEX(SONG_LEVEL_TRUTH!$G:$G,MATCH($A5,SONG_LEVEL_TRUTH!$A:$A,0)))),IF(INDEX(SONG_LEVEL_TRUTH!$D:$D,MATCH($A5,SONG_LEVEL_TRUTH!$A:$A,0))=INDEX(SONG_LEVEL_TRUTH!$G:$G,MATCH($A5,SONG_LEVEL_TRUTH!$A:$A,0)),"YES","NO"),""),"")</f>
        <v/>
      </c>
      <c r="Q5" s="13">
        <f>IFERROR(IF(AND(ISNUMBER(INDEX(SONG_LEVEL_TRUTH!$D:$D,MATCH($A5,SONG_LEVEL_TRUTH!$A:$A,0))),ISNUMBER(INDEX(SONG_LEVEL_TRUTH!$H:$H,MATCH($A5,SONG_LEVEL_TRUTH!$A:$A,0)))),IF(INDEX(SONG_LEVEL_TRUTH!$D:$D,MATCH($A5,SONG_LEVEL_TRUTH!$A:$A,0))=INDEX(SONG_LEVEL_TRUTH!$H:$H,MATCH($A5,SONG_LEVEL_TRUTH!$A:$A,0)),"YES","NO"),""),"")</f>
        <v/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>
      <c r="A6" s="13" t="inlineStr">
        <is>
          <t>TEST_005</t>
        </is>
      </c>
      <c r="B6" s="13" t="n"/>
      <c r="C6" s="13" t="n"/>
      <c r="D6" s="13" t="n"/>
      <c r="E6" s="13" t="n"/>
      <c r="F6" s="14">
        <f>IFERROR(IF(AND(ISNUMBER(INDEX(SONG_LEVEL_TRUTH!$I:$I,MATCH($A6,SONG_LEVEL_TRUTH!$A:$A,0))),ISNUMBER(INDEX(SONG_LEVEL_TRUTH!$J:$J,MATCH($A6,SONG_LEVEL_TRUTH!$A:$A,0)))),ABS(INDEX(SONG_LEVEL_TRUTH!$J:$J,MATCH($A6,SONG_LEVEL_TRUTH!$A:$A,0))-INDEX(SONG_LEVEL_TRUTH!$I:$I,MATCH($A6,SONG_LEVEL_TRUTH!$A:$A,0))),""),"")</f>
        <v/>
      </c>
      <c r="G6" s="14">
        <f>IFERROR(IF(AND(ISNUMBER(INDEX(SONG_LEVEL_TRUTH!$I:$I,MATCH($A6,SONG_LEVEL_TRUTH!$A:$A,0))),ISNUMBER(INDEX(SONG_LEVEL_TRUTH!$K:$K,MATCH($A6,SONG_LEVEL_TRUTH!$A:$A,0)))),ABS(INDEX(SONG_LEVEL_TRUTH!$K:$K,MATCH($A6,SONG_LEVEL_TRUTH!$A:$A,0))-INDEX(SONG_LEVEL_TRUTH!$I:$I,MATCH($A6,SONG_LEVEL_TRUTH!$A:$A,0))),""),"")</f>
        <v/>
      </c>
      <c r="H6" s="14">
        <f>IFERROR(IF(AND(ISNUMBER(INDEX(SONG_LEVEL_TRUTH!$I:$I,MATCH($A6,SONG_LEVEL_TRUTH!$A:$A,0))),ISNUMBER(INDEX(SONG_LEVEL_TRUTH!$L:$L,MATCH($A6,SONG_LEVEL_TRUTH!$A:$A,0)))),ABS(INDEX(SONG_LEVEL_TRUTH!$L:$L,MATCH($A6,SONG_LEVEL_TRUTH!$A:$A,0))-INDEX(SONG_LEVEL_TRUTH!$I:$I,MATCH($A6,SONG_LEVEL_TRUTH!$A:$A,0))),""),"")</f>
        <v/>
      </c>
      <c r="I6" s="14">
        <f>IFERROR(IF(AND(ISNUMBER(INDEX(SONG_LEVEL_TRUTH!$I:$I,MATCH($A6,SONG_LEVEL_TRUTH!$A:$A,0))),ISNUMBER(INDEX(SONG_LEVEL_TRUTH!$M:$M,MATCH($A6,SONG_LEVEL_TRUTH!$A:$A,0)))),ABS(INDEX(SONG_LEVEL_TRUTH!$M:$M,MATCH($A6,SONG_LEVEL_TRUTH!$A:$A,0))-INDEX(SONG_LEVEL_TRUTH!$I:$I,MATCH($A6,SONG_LEVEL_TRUTH!$A:$A,0))),""),"")</f>
        <v/>
      </c>
      <c r="J6" s="13">
        <f>IFERROR(IF(AND(ISNUMBER(FIND("/",INDEX(SONG_LEVEL_TRUTH!$N:$N,MATCH($A6,SONG_LEVEL_TRUTH!$A:$A,0)))),ISNUMBER(FIND("/",INDEX(SONG_LEVEL_TRUTH!$O:$O,MATCH($A6,SONG_LEVEL_TRUTH!$A:$A,0)))),NOT(ISNUMBER(FIND("UNKNOWN",INDEX(SONG_LEVEL_TRUTH!$N:$N,MATCH($A6,SONG_LEVEL_TRUTH!$A:$A,0)))))),IF(TRIM(INDEX(SONG_LEVEL_TRUTH!$N:$N,MATCH($A6,SONG_LEVEL_TRUTH!$A:$A,0)))=TRIM(INDEX(SONG_LEVEL_TRUTH!$O:$O,MATCH($A6,SONG_LEVEL_TRUTH!$A:$A,0))),"YES","NO"),""),"")</f>
        <v/>
      </c>
      <c r="K6" s="13">
        <f>IFERROR(IF(AND(ISNUMBER(FIND("/",INDEX(SONG_LEVEL_TRUTH!$N:$N,MATCH($A6,SONG_LEVEL_TRUTH!$A:$A,0)))),ISNUMBER(FIND("/",INDEX(SONG_LEVEL_TRUTH!$P:$P,MATCH($A6,SONG_LEVEL_TRUTH!$A:$A,0)))),NOT(ISNUMBER(FIND("UNKNOWN",INDEX(SONG_LEVEL_TRUTH!$N:$N,MATCH($A6,SONG_LEVEL_TRUTH!$A:$A,0)))))),IF(TRIM(INDEX(SONG_LEVEL_TRUTH!$N:$N,MATCH($A6,SONG_LEVEL_TRUTH!$A:$A,0)))=TRIM(INDEX(SONG_LEVEL_TRUTH!$P:$P,MATCH($A6,SONG_LEVEL_TRUTH!$A:$A,0))),"YES","NO"),""),"")</f>
        <v/>
      </c>
      <c r="L6" s="13">
        <f>IFERROR(IF(AND(ISNUMBER(FIND("/",INDEX(SONG_LEVEL_TRUTH!$N:$N,MATCH($A6,SONG_LEVEL_TRUTH!$A:$A,0)))),ISNUMBER(FIND("/",INDEX(SONG_LEVEL_TRUTH!$Q:$Q,MATCH($A6,SONG_LEVEL_TRUTH!$A:$A,0)))),NOT(ISNUMBER(FIND("UNKNOWN",INDEX(SONG_LEVEL_TRUTH!$N:$N,MATCH($A6,SONG_LEVEL_TRUTH!$A:$A,0)))))),IF(TRIM(INDEX(SONG_LEVEL_TRUTH!$N:$N,MATCH($A6,SONG_LEVEL_TRUTH!$A:$A,0)))=TRIM(INDEX(SONG_LEVEL_TRUTH!$Q:$Q,MATCH($A6,SONG_LEVEL_TRUTH!$A:$A,0))),"YES","NO"),""),"")</f>
        <v/>
      </c>
      <c r="M6" s="13">
        <f>IFERROR(IF(AND(ISNUMBER(FIND("/",INDEX(SONG_LEVEL_TRUTH!$N:$N,MATCH($A6,SONG_LEVEL_TRUTH!$A:$A,0)))),ISNUMBER(FIND("/",INDEX(SONG_LEVEL_TRUTH!$R:$R,MATCH($A6,SONG_LEVEL_TRUTH!$A:$A,0)))),NOT(ISNUMBER(FIND("UNKNOWN",INDEX(SONG_LEVEL_TRUTH!$N:$N,MATCH($A6,SONG_LEVEL_TRUTH!$A:$A,0)))))),IF(TRIM(INDEX(SONG_LEVEL_TRUTH!$N:$N,MATCH($A6,SONG_LEVEL_TRUTH!$A:$A,0)))=TRIM(INDEX(SONG_LEVEL_TRUTH!$R:$R,MATCH($A6,SONG_LEVEL_TRUTH!$A:$A,0))),"YES","NO"),""),"")</f>
        <v/>
      </c>
      <c r="N6" s="13">
        <f>IFERROR(IF(AND(ISNUMBER(INDEX(SONG_LEVEL_TRUTH!$D:$D,MATCH($A6,SONG_LEVEL_TRUTH!$A:$A,0))),ISNUMBER(INDEX(SONG_LEVEL_TRUTH!$E:$E,MATCH($A6,SONG_LEVEL_TRUTH!$A:$A,0)))),IF(INDEX(SONG_LEVEL_TRUTH!$D:$D,MATCH($A6,SONG_LEVEL_TRUTH!$A:$A,0))=INDEX(SONG_LEVEL_TRUTH!$E:$E,MATCH($A6,SONG_LEVEL_TRUTH!$A:$A,0)),"YES","NO"),""),"")</f>
        <v/>
      </c>
      <c r="O6" s="13">
        <f>IFERROR(IF(AND(ISNUMBER(INDEX(SONG_LEVEL_TRUTH!$D:$D,MATCH($A6,SONG_LEVEL_TRUTH!$A:$A,0))),ISNUMBER(INDEX(SONG_LEVEL_TRUTH!$F:$F,MATCH($A6,SONG_LEVEL_TRUTH!$A:$A,0)))),IF(INDEX(SONG_LEVEL_TRUTH!$D:$D,MATCH($A6,SONG_LEVEL_TRUTH!$A:$A,0))=INDEX(SONG_LEVEL_TRUTH!$F:$F,MATCH($A6,SONG_LEVEL_TRUTH!$A:$A,0)),"YES","NO"),""),"")</f>
        <v/>
      </c>
      <c r="P6" s="13">
        <f>IFERROR(IF(AND(ISNUMBER(INDEX(SONG_LEVEL_TRUTH!$D:$D,MATCH($A6,SONG_LEVEL_TRUTH!$A:$A,0))),ISNUMBER(INDEX(SONG_LEVEL_TRUTH!$G:$G,MATCH($A6,SONG_LEVEL_TRUTH!$A:$A,0)))),IF(INDEX(SONG_LEVEL_TRUTH!$D:$D,MATCH($A6,SONG_LEVEL_TRUTH!$A:$A,0))=INDEX(SONG_LEVEL_TRUTH!$G:$G,MATCH($A6,SONG_LEVEL_TRUTH!$A:$A,0)),"YES","NO"),""),"")</f>
        <v/>
      </c>
      <c r="Q6" s="13">
        <f>IFERROR(IF(AND(ISNUMBER(INDEX(SONG_LEVEL_TRUTH!$D:$D,MATCH($A6,SONG_LEVEL_TRUTH!$A:$A,0))),ISNUMBER(INDEX(SONG_LEVEL_TRUTH!$H:$H,MATCH($A6,SONG_LEVEL_TRUTH!$A:$A,0)))),IF(INDEX(SONG_LEVEL_TRUTH!$D:$D,MATCH($A6,SONG_LEVEL_TRUTH!$A:$A,0))=INDEX(SONG_LEVEL_TRUTH!$H:$H,MATCH($A6,SONG_LEVEL_TRUTH!$A:$A,0)),"YES","NO"),""),"")</f>
        <v/>
      </c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>
      <c r="A7" s="13" t="inlineStr">
        <is>
          <t>TEST_006</t>
        </is>
      </c>
      <c r="B7" s="13" t="n"/>
      <c r="C7" s="13" t="n"/>
      <c r="D7" s="13" t="n"/>
      <c r="E7" s="13" t="n"/>
      <c r="F7" s="14">
        <f>IFERROR(IF(AND(ISNUMBER(INDEX(SONG_LEVEL_TRUTH!$I:$I,MATCH($A7,SONG_LEVEL_TRUTH!$A:$A,0))),ISNUMBER(INDEX(SONG_LEVEL_TRUTH!$J:$J,MATCH($A7,SONG_LEVEL_TRUTH!$A:$A,0)))),ABS(INDEX(SONG_LEVEL_TRUTH!$J:$J,MATCH($A7,SONG_LEVEL_TRUTH!$A:$A,0))-INDEX(SONG_LEVEL_TRUTH!$I:$I,MATCH($A7,SONG_LEVEL_TRUTH!$A:$A,0))),""),"")</f>
        <v/>
      </c>
      <c r="G7" s="14">
        <f>IFERROR(IF(AND(ISNUMBER(INDEX(SONG_LEVEL_TRUTH!$I:$I,MATCH($A7,SONG_LEVEL_TRUTH!$A:$A,0))),ISNUMBER(INDEX(SONG_LEVEL_TRUTH!$K:$K,MATCH($A7,SONG_LEVEL_TRUTH!$A:$A,0)))),ABS(INDEX(SONG_LEVEL_TRUTH!$K:$K,MATCH($A7,SONG_LEVEL_TRUTH!$A:$A,0))-INDEX(SONG_LEVEL_TRUTH!$I:$I,MATCH($A7,SONG_LEVEL_TRUTH!$A:$A,0))),""),"")</f>
        <v/>
      </c>
      <c r="H7" s="14">
        <f>IFERROR(IF(AND(ISNUMBER(INDEX(SONG_LEVEL_TRUTH!$I:$I,MATCH($A7,SONG_LEVEL_TRUTH!$A:$A,0))),ISNUMBER(INDEX(SONG_LEVEL_TRUTH!$L:$L,MATCH($A7,SONG_LEVEL_TRUTH!$A:$A,0)))),ABS(INDEX(SONG_LEVEL_TRUTH!$L:$L,MATCH($A7,SONG_LEVEL_TRUTH!$A:$A,0))-INDEX(SONG_LEVEL_TRUTH!$I:$I,MATCH($A7,SONG_LEVEL_TRUTH!$A:$A,0))),""),"")</f>
        <v/>
      </c>
      <c r="I7" s="14">
        <f>IFERROR(IF(AND(ISNUMBER(INDEX(SONG_LEVEL_TRUTH!$I:$I,MATCH($A7,SONG_LEVEL_TRUTH!$A:$A,0))),ISNUMBER(INDEX(SONG_LEVEL_TRUTH!$M:$M,MATCH($A7,SONG_LEVEL_TRUTH!$A:$A,0)))),ABS(INDEX(SONG_LEVEL_TRUTH!$M:$M,MATCH($A7,SONG_LEVEL_TRUTH!$A:$A,0))-INDEX(SONG_LEVEL_TRUTH!$I:$I,MATCH($A7,SONG_LEVEL_TRUTH!$A:$A,0))),""),"")</f>
        <v/>
      </c>
      <c r="J7" s="13">
        <f>IFERROR(IF(AND(ISNUMBER(FIND("/",INDEX(SONG_LEVEL_TRUTH!$N:$N,MATCH($A7,SONG_LEVEL_TRUTH!$A:$A,0)))),ISNUMBER(FIND("/",INDEX(SONG_LEVEL_TRUTH!$O:$O,MATCH($A7,SONG_LEVEL_TRUTH!$A:$A,0)))),NOT(ISNUMBER(FIND("UNKNOWN",INDEX(SONG_LEVEL_TRUTH!$N:$N,MATCH($A7,SONG_LEVEL_TRUTH!$A:$A,0)))))),IF(TRIM(INDEX(SONG_LEVEL_TRUTH!$N:$N,MATCH($A7,SONG_LEVEL_TRUTH!$A:$A,0)))=TRIM(INDEX(SONG_LEVEL_TRUTH!$O:$O,MATCH($A7,SONG_LEVEL_TRUTH!$A:$A,0))),"YES","NO"),""),"")</f>
        <v/>
      </c>
      <c r="K7" s="13">
        <f>IFERROR(IF(AND(ISNUMBER(FIND("/",INDEX(SONG_LEVEL_TRUTH!$N:$N,MATCH($A7,SONG_LEVEL_TRUTH!$A:$A,0)))),ISNUMBER(FIND("/",INDEX(SONG_LEVEL_TRUTH!$P:$P,MATCH($A7,SONG_LEVEL_TRUTH!$A:$A,0)))),NOT(ISNUMBER(FIND("UNKNOWN",INDEX(SONG_LEVEL_TRUTH!$N:$N,MATCH($A7,SONG_LEVEL_TRUTH!$A:$A,0)))))),IF(TRIM(INDEX(SONG_LEVEL_TRUTH!$N:$N,MATCH($A7,SONG_LEVEL_TRUTH!$A:$A,0)))=TRIM(INDEX(SONG_LEVEL_TRUTH!$P:$P,MATCH($A7,SONG_LEVEL_TRUTH!$A:$A,0))),"YES","NO"),""),"")</f>
        <v/>
      </c>
      <c r="L7" s="13">
        <f>IFERROR(IF(AND(ISNUMBER(FIND("/",INDEX(SONG_LEVEL_TRUTH!$N:$N,MATCH($A7,SONG_LEVEL_TRUTH!$A:$A,0)))),ISNUMBER(FIND("/",INDEX(SONG_LEVEL_TRUTH!$Q:$Q,MATCH($A7,SONG_LEVEL_TRUTH!$A:$A,0)))),NOT(ISNUMBER(FIND("UNKNOWN",INDEX(SONG_LEVEL_TRUTH!$N:$N,MATCH($A7,SONG_LEVEL_TRUTH!$A:$A,0)))))),IF(TRIM(INDEX(SONG_LEVEL_TRUTH!$N:$N,MATCH($A7,SONG_LEVEL_TRUTH!$A:$A,0)))=TRIM(INDEX(SONG_LEVEL_TRUTH!$Q:$Q,MATCH($A7,SONG_LEVEL_TRUTH!$A:$A,0))),"YES","NO"),""),"")</f>
        <v/>
      </c>
      <c r="M7" s="13">
        <f>IFERROR(IF(AND(ISNUMBER(FIND("/",INDEX(SONG_LEVEL_TRUTH!$N:$N,MATCH($A7,SONG_LEVEL_TRUTH!$A:$A,0)))),ISNUMBER(FIND("/",INDEX(SONG_LEVEL_TRUTH!$R:$R,MATCH($A7,SONG_LEVEL_TRUTH!$A:$A,0)))),NOT(ISNUMBER(FIND("UNKNOWN",INDEX(SONG_LEVEL_TRUTH!$N:$N,MATCH($A7,SONG_LEVEL_TRUTH!$A:$A,0)))))),IF(TRIM(INDEX(SONG_LEVEL_TRUTH!$N:$N,MATCH($A7,SONG_LEVEL_TRUTH!$A:$A,0)))=TRIM(INDEX(SONG_LEVEL_TRUTH!$R:$R,MATCH($A7,SONG_LEVEL_TRUTH!$A:$A,0))),"YES","NO"),""),"")</f>
        <v/>
      </c>
      <c r="N7" s="13">
        <f>IFERROR(IF(AND(ISNUMBER(INDEX(SONG_LEVEL_TRUTH!$D:$D,MATCH($A7,SONG_LEVEL_TRUTH!$A:$A,0))),ISNUMBER(INDEX(SONG_LEVEL_TRUTH!$E:$E,MATCH($A7,SONG_LEVEL_TRUTH!$A:$A,0)))),IF(INDEX(SONG_LEVEL_TRUTH!$D:$D,MATCH($A7,SONG_LEVEL_TRUTH!$A:$A,0))=INDEX(SONG_LEVEL_TRUTH!$E:$E,MATCH($A7,SONG_LEVEL_TRUTH!$A:$A,0)),"YES","NO"),""),"")</f>
        <v/>
      </c>
      <c r="O7" s="13">
        <f>IFERROR(IF(AND(ISNUMBER(INDEX(SONG_LEVEL_TRUTH!$D:$D,MATCH($A7,SONG_LEVEL_TRUTH!$A:$A,0))),ISNUMBER(INDEX(SONG_LEVEL_TRUTH!$F:$F,MATCH($A7,SONG_LEVEL_TRUTH!$A:$A,0)))),IF(INDEX(SONG_LEVEL_TRUTH!$D:$D,MATCH($A7,SONG_LEVEL_TRUTH!$A:$A,0))=INDEX(SONG_LEVEL_TRUTH!$F:$F,MATCH($A7,SONG_LEVEL_TRUTH!$A:$A,0)),"YES","NO"),""),"")</f>
        <v/>
      </c>
      <c r="P7" s="13">
        <f>IFERROR(IF(AND(ISNUMBER(INDEX(SONG_LEVEL_TRUTH!$D:$D,MATCH($A7,SONG_LEVEL_TRUTH!$A:$A,0))),ISNUMBER(INDEX(SONG_LEVEL_TRUTH!$G:$G,MATCH($A7,SONG_LEVEL_TRUTH!$A:$A,0)))),IF(INDEX(SONG_LEVEL_TRUTH!$D:$D,MATCH($A7,SONG_LEVEL_TRUTH!$A:$A,0))=INDEX(SONG_LEVEL_TRUTH!$G:$G,MATCH($A7,SONG_LEVEL_TRUTH!$A:$A,0)),"YES","NO"),""),"")</f>
        <v/>
      </c>
      <c r="Q7" s="13">
        <f>IFERROR(IF(AND(ISNUMBER(INDEX(SONG_LEVEL_TRUTH!$D:$D,MATCH($A7,SONG_LEVEL_TRUTH!$A:$A,0))),ISNUMBER(INDEX(SONG_LEVEL_TRUTH!$H:$H,MATCH($A7,SONG_LEVEL_TRUTH!$A:$A,0)))),IF(INDEX(SONG_LEVEL_TRUTH!$D:$D,MATCH($A7,SONG_LEVEL_TRUTH!$A:$A,0))=INDEX(SONG_LEVEL_TRUTH!$H:$H,MATCH($A7,SONG_LEVEL_TRUTH!$A:$A,0)),"YES","NO"),""),"")</f>
        <v/>
      </c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>
      <c r="A8" s="13" t="inlineStr">
        <is>
          <t>TEST_007</t>
        </is>
      </c>
      <c r="B8" s="13" t="n"/>
      <c r="C8" s="13" t="n"/>
      <c r="D8" s="13" t="n"/>
      <c r="E8" s="13" t="n"/>
      <c r="F8" s="14">
        <f>IFERROR(IF(AND(ISNUMBER(INDEX(SONG_LEVEL_TRUTH!$I:$I,MATCH($A8,SONG_LEVEL_TRUTH!$A:$A,0))),ISNUMBER(INDEX(SONG_LEVEL_TRUTH!$J:$J,MATCH($A8,SONG_LEVEL_TRUTH!$A:$A,0)))),ABS(INDEX(SONG_LEVEL_TRUTH!$J:$J,MATCH($A8,SONG_LEVEL_TRUTH!$A:$A,0))-INDEX(SONG_LEVEL_TRUTH!$I:$I,MATCH($A8,SONG_LEVEL_TRUTH!$A:$A,0))),""),"")</f>
        <v/>
      </c>
      <c r="G8" s="14">
        <f>IFERROR(IF(AND(ISNUMBER(INDEX(SONG_LEVEL_TRUTH!$I:$I,MATCH($A8,SONG_LEVEL_TRUTH!$A:$A,0))),ISNUMBER(INDEX(SONG_LEVEL_TRUTH!$K:$K,MATCH($A8,SONG_LEVEL_TRUTH!$A:$A,0)))),ABS(INDEX(SONG_LEVEL_TRUTH!$K:$K,MATCH($A8,SONG_LEVEL_TRUTH!$A:$A,0))-INDEX(SONG_LEVEL_TRUTH!$I:$I,MATCH($A8,SONG_LEVEL_TRUTH!$A:$A,0))),""),"")</f>
        <v/>
      </c>
      <c r="H8" s="14">
        <f>IFERROR(IF(AND(ISNUMBER(INDEX(SONG_LEVEL_TRUTH!$I:$I,MATCH($A8,SONG_LEVEL_TRUTH!$A:$A,0))),ISNUMBER(INDEX(SONG_LEVEL_TRUTH!$L:$L,MATCH($A8,SONG_LEVEL_TRUTH!$A:$A,0)))),ABS(INDEX(SONG_LEVEL_TRUTH!$L:$L,MATCH($A8,SONG_LEVEL_TRUTH!$A:$A,0))-INDEX(SONG_LEVEL_TRUTH!$I:$I,MATCH($A8,SONG_LEVEL_TRUTH!$A:$A,0))),""),"")</f>
        <v/>
      </c>
      <c r="I8" s="14">
        <f>IFERROR(IF(AND(ISNUMBER(INDEX(SONG_LEVEL_TRUTH!$I:$I,MATCH($A8,SONG_LEVEL_TRUTH!$A:$A,0))),ISNUMBER(INDEX(SONG_LEVEL_TRUTH!$M:$M,MATCH($A8,SONG_LEVEL_TRUTH!$A:$A,0)))),ABS(INDEX(SONG_LEVEL_TRUTH!$M:$M,MATCH($A8,SONG_LEVEL_TRUTH!$A:$A,0))-INDEX(SONG_LEVEL_TRUTH!$I:$I,MATCH($A8,SONG_LEVEL_TRUTH!$A:$A,0))),""),"")</f>
        <v/>
      </c>
      <c r="J8" s="13">
        <f>IFERROR(IF(AND(ISNUMBER(FIND("/",INDEX(SONG_LEVEL_TRUTH!$N:$N,MATCH($A8,SONG_LEVEL_TRUTH!$A:$A,0)))),ISNUMBER(FIND("/",INDEX(SONG_LEVEL_TRUTH!$O:$O,MATCH($A8,SONG_LEVEL_TRUTH!$A:$A,0)))),NOT(ISNUMBER(FIND("UNKNOWN",INDEX(SONG_LEVEL_TRUTH!$N:$N,MATCH($A8,SONG_LEVEL_TRUTH!$A:$A,0)))))),IF(TRIM(INDEX(SONG_LEVEL_TRUTH!$N:$N,MATCH($A8,SONG_LEVEL_TRUTH!$A:$A,0)))=TRIM(INDEX(SONG_LEVEL_TRUTH!$O:$O,MATCH($A8,SONG_LEVEL_TRUTH!$A:$A,0))),"YES","NO"),""),"")</f>
        <v/>
      </c>
      <c r="K8" s="13">
        <f>IFERROR(IF(AND(ISNUMBER(FIND("/",INDEX(SONG_LEVEL_TRUTH!$N:$N,MATCH($A8,SONG_LEVEL_TRUTH!$A:$A,0)))),ISNUMBER(FIND("/",INDEX(SONG_LEVEL_TRUTH!$P:$P,MATCH($A8,SONG_LEVEL_TRUTH!$A:$A,0)))),NOT(ISNUMBER(FIND("UNKNOWN",INDEX(SONG_LEVEL_TRUTH!$N:$N,MATCH($A8,SONG_LEVEL_TRUTH!$A:$A,0)))))),IF(TRIM(INDEX(SONG_LEVEL_TRUTH!$N:$N,MATCH($A8,SONG_LEVEL_TRUTH!$A:$A,0)))=TRIM(INDEX(SONG_LEVEL_TRUTH!$P:$P,MATCH($A8,SONG_LEVEL_TRUTH!$A:$A,0))),"YES","NO"),""),"")</f>
        <v/>
      </c>
      <c r="L8" s="13">
        <f>IFERROR(IF(AND(ISNUMBER(FIND("/",INDEX(SONG_LEVEL_TRUTH!$N:$N,MATCH($A8,SONG_LEVEL_TRUTH!$A:$A,0)))),ISNUMBER(FIND("/",INDEX(SONG_LEVEL_TRUTH!$Q:$Q,MATCH($A8,SONG_LEVEL_TRUTH!$A:$A,0)))),NOT(ISNUMBER(FIND("UNKNOWN",INDEX(SONG_LEVEL_TRUTH!$N:$N,MATCH($A8,SONG_LEVEL_TRUTH!$A:$A,0)))))),IF(TRIM(INDEX(SONG_LEVEL_TRUTH!$N:$N,MATCH($A8,SONG_LEVEL_TRUTH!$A:$A,0)))=TRIM(INDEX(SONG_LEVEL_TRUTH!$Q:$Q,MATCH($A8,SONG_LEVEL_TRUTH!$A:$A,0))),"YES","NO"),""),"")</f>
        <v/>
      </c>
      <c r="M8" s="13">
        <f>IFERROR(IF(AND(ISNUMBER(FIND("/",INDEX(SONG_LEVEL_TRUTH!$N:$N,MATCH($A8,SONG_LEVEL_TRUTH!$A:$A,0)))),ISNUMBER(FIND("/",INDEX(SONG_LEVEL_TRUTH!$R:$R,MATCH($A8,SONG_LEVEL_TRUTH!$A:$A,0)))),NOT(ISNUMBER(FIND("UNKNOWN",INDEX(SONG_LEVEL_TRUTH!$N:$N,MATCH($A8,SONG_LEVEL_TRUTH!$A:$A,0)))))),IF(TRIM(INDEX(SONG_LEVEL_TRUTH!$N:$N,MATCH($A8,SONG_LEVEL_TRUTH!$A:$A,0)))=TRIM(INDEX(SONG_LEVEL_TRUTH!$R:$R,MATCH($A8,SONG_LEVEL_TRUTH!$A:$A,0))),"YES","NO"),""),"")</f>
        <v/>
      </c>
      <c r="N8" s="13">
        <f>IFERROR(IF(AND(ISNUMBER(INDEX(SONG_LEVEL_TRUTH!$D:$D,MATCH($A8,SONG_LEVEL_TRUTH!$A:$A,0))),ISNUMBER(INDEX(SONG_LEVEL_TRUTH!$E:$E,MATCH($A8,SONG_LEVEL_TRUTH!$A:$A,0)))),IF(INDEX(SONG_LEVEL_TRUTH!$D:$D,MATCH($A8,SONG_LEVEL_TRUTH!$A:$A,0))=INDEX(SONG_LEVEL_TRUTH!$E:$E,MATCH($A8,SONG_LEVEL_TRUTH!$A:$A,0)),"YES","NO"),""),"")</f>
        <v/>
      </c>
      <c r="O8" s="13">
        <f>IFERROR(IF(AND(ISNUMBER(INDEX(SONG_LEVEL_TRUTH!$D:$D,MATCH($A8,SONG_LEVEL_TRUTH!$A:$A,0))),ISNUMBER(INDEX(SONG_LEVEL_TRUTH!$F:$F,MATCH($A8,SONG_LEVEL_TRUTH!$A:$A,0)))),IF(INDEX(SONG_LEVEL_TRUTH!$D:$D,MATCH($A8,SONG_LEVEL_TRUTH!$A:$A,0))=INDEX(SONG_LEVEL_TRUTH!$F:$F,MATCH($A8,SONG_LEVEL_TRUTH!$A:$A,0)),"YES","NO"),""),"")</f>
        <v/>
      </c>
      <c r="P8" s="13">
        <f>IFERROR(IF(AND(ISNUMBER(INDEX(SONG_LEVEL_TRUTH!$D:$D,MATCH($A8,SONG_LEVEL_TRUTH!$A:$A,0))),ISNUMBER(INDEX(SONG_LEVEL_TRUTH!$G:$G,MATCH($A8,SONG_LEVEL_TRUTH!$A:$A,0)))),IF(INDEX(SONG_LEVEL_TRUTH!$D:$D,MATCH($A8,SONG_LEVEL_TRUTH!$A:$A,0))=INDEX(SONG_LEVEL_TRUTH!$G:$G,MATCH($A8,SONG_LEVEL_TRUTH!$A:$A,0)),"YES","NO"),""),"")</f>
        <v/>
      </c>
      <c r="Q8" s="13">
        <f>IFERROR(IF(AND(ISNUMBER(INDEX(SONG_LEVEL_TRUTH!$D:$D,MATCH($A8,SONG_LEVEL_TRUTH!$A:$A,0))),ISNUMBER(INDEX(SONG_LEVEL_TRUTH!$H:$H,MATCH($A8,SONG_LEVEL_TRUTH!$A:$A,0)))),IF(INDEX(SONG_LEVEL_TRUTH!$D:$D,MATCH($A8,SONG_LEVEL_TRUTH!$A:$A,0))=INDEX(SONG_LEVEL_TRUTH!$H:$H,MATCH($A8,SONG_LEVEL_TRUTH!$A:$A,0)),"YES","NO"),""),"")</f>
        <v/>
      </c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>
      <c r="A9" s="13" t="inlineStr">
        <is>
          <t>TEST_008</t>
        </is>
      </c>
      <c r="B9" s="13" t="n"/>
      <c r="C9" s="13" t="n"/>
      <c r="D9" s="13" t="n"/>
      <c r="E9" s="13" t="n"/>
      <c r="F9" s="14">
        <f>IFERROR(IF(AND(ISNUMBER(INDEX(SONG_LEVEL_TRUTH!$I:$I,MATCH($A9,SONG_LEVEL_TRUTH!$A:$A,0))),ISNUMBER(INDEX(SONG_LEVEL_TRUTH!$J:$J,MATCH($A9,SONG_LEVEL_TRUTH!$A:$A,0)))),ABS(INDEX(SONG_LEVEL_TRUTH!$J:$J,MATCH($A9,SONG_LEVEL_TRUTH!$A:$A,0))-INDEX(SONG_LEVEL_TRUTH!$I:$I,MATCH($A9,SONG_LEVEL_TRUTH!$A:$A,0))),""),"")</f>
        <v/>
      </c>
      <c r="G9" s="14">
        <f>IFERROR(IF(AND(ISNUMBER(INDEX(SONG_LEVEL_TRUTH!$I:$I,MATCH($A9,SONG_LEVEL_TRUTH!$A:$A,0))),ISNUMBER(INDEX(SONG_LEVEL_TRUTH!$K:$K,MATCH($A9,SONG_LEVEL_TRUTH!$A:$A,0)))),ABS(INDEX(SONG_LEVEL_TRUTH!$K:$K,MATCH($A9,SONG_LEVEL_TRUTH!$A:$A,0))-INDEX(SONG_LEVEL_TRUTH!$I:$I,MATCH($A9,SONG_LEVEL_TRUTH!$A:$A,0))),""),"")</f>
        <v/>
      </c>
      <c r="H9" s="14">
        <f>IFERROR(IF(AND(ISNUMBER(INDEX(SONG_LEVEL_TRUTH!$I:$I,MATCH($A9,SONG_LEVEL_TRUTH!$A:$A,0))),ISNUMBER(INDEX(SONG_LEVEL_TRUTH!$L:$L,MATCH($A9,SONG_LEVEL_TRUTH!$A:$A,0)))),ABS(INDEX(SONG_LEVEL_TRUTH!$L:$L,MATCH($A9,SONG_LEVEL_TRUTH!$A:$A,0))-INDEX(SONG_LEVEL_TRUTH!$I:$I,MATCH($A9,SONG_LEVEL_TRUTH!$A:$A,0))),""),"")</f>
        <v/>
      </c>
      <c r="I9" s="14">
        <f>IFERROR(IF(AND(ISNUMBER(INDEX(SONG_LEVEL_TRUTH!$I:$I,MATCH($A9,SONG_LEVEL_TRUTH!$A:$A,0))),ISNUMBER(INDEX(SONG_LEVEL_TRUTH!$M:$M,MATCH($A9,SONG_LEVEL_TRUTH!$A:$A,0)))),ABS(INDEX(SONG_LEVEL_TRUTH!$M:$M,MATCH($A9,SONG_LEVEL_TRUTH!$A:$A,0))-INDEX(SONG_LEVEL_TRUTH!$I:$I,MATCH($A9,SONG_LEVEL_TRUTH!$A:$A,0))),""),"")</f>
        <v/>
      </c>
      <c r="J9" s="13">
        <f>IFERROR(IF(AND(ISNUMBER(FIND("/",INDEX(SONG_LEVEL_TRUTH!$N:$N,MATCH($A9,SONG_LEVEL_TRUTH!$A:$A,0)))),ISNUMBER(FIND("/",INDEX(SONG_LEVEL_TRUTH!$O:$O,MATCH($A9,SONG_LEVEL_TRUTH!$A:$A,0)))),NOT(ISNUMBER(FIND("UNKNOWN",INDEX(SONG_LEVEL_TRUTH!$N:$N,MATCH($A9,SONG_LEVEL_TRUTH!$A:$A,0)))))),IF(TRIM(INDEX(SONG_LEVEL_TRUTH!$N:$N,MATCH($A9,SONG_LEVEL_TRUTH!$A:$A,0)))=TRIM(INDEX(SONG_LEVEL_TRUTH!$O:$O,MATCH($A9,SONG_LEVEL_TRUTH!$A:$A,0))),"YES","NO"),""),"")</f>
        <v/>
      </c>
      <c r="K9" s="13">
        <f>IFERROR(IF(AND(ISNUMBER(FIND("/",INDEX(SONG_LEVEL_TRUTH!$N:$N,MATCH($A9,SONG_LEVEL_TRUTH!$A:$A,0)))),ISNUMBER(FIND("/",INDEX(SONG_LEVEL_TRUTH!$P:$P,MATCH($A9,SONG_LEVEL_TRUTH!$A:$A,0)))),NOT(ISNUMBER(FIND("UNKNOWN",INDEX(SONG_LEVEL_TRUTH!$N:$N,MATCH($A9,SONG_LEVEL_TRUTH!$A:$A,0)))))),IF(TRIM(INDEX(SONG_LEVEL_TRUTH!$N:$N,MATCH($A9,SONG_LEVEL_TRUTH!$A:$A,0)))=TRIM(INDEX(SONG_LEVEL_TRUTH!$P:$P,MATCH($A9,SONG_LEVEL_TRUTH!$A:$A,0))),"YES","NO"),""),"")</f>
        <v/>
      </c>
      <c r="L9" s="13">
        <f>IFERROR(IF(AND(ISNUMBER(FIND("/",INDEX(SONG_LEVEL_TRUTH!$N:$N,MATCH($A9,SONG_LEVEL_TRUTH!$A:$A,0)))),ISNUMBER(FIND("/",INDEX(SONG_LEVEL_TRUTH!$Q:$Q,MATCH($A9,SONG_LEVEL_TRUTH!$A:$A,0)))),NOT(ISNUMBER(FIND("UNKNOWN",INDEX(SONG_LEVEL_TRUTH!$N:$N,MATCH($A9,SONG_LEVEL_TRUTH!$A:$A,0)))))),IF(TRIM(INDEX(SONG_LEVEL_TRUTH!$N:$N,MATCH($A9,SONG_LEVEL_TRUTH!$A:$A,0)))=TRIM(INDEX(SONG_LEVEL_TRUTH!$Q:$Q,MATCH($A9,SONG_LEVEL_TRUTH!$A:$A,0))),"YES","NO"),""),"")</f>
        <v/>
      </c>
      <c r="M9" s="13">
        <f>IFERROR(IF(AND(ISNUMBER(FIND("/",INDEX(SONG_LEVEL_TRUTH!$N:$N,MATCH($A9,SONG_LEVEL_TRUTH!$A:$A,0)))),ISNUMBER(FIND("/",INDEX(SONG_LEVEL_TRUTH!$R:$R,MATCH($A9,SONG_LEVEL_TRUTH!$A:$A,0)))),NOT(ISNUMBER(FIND("UNKNOWN",INDEX(SONG_LEVEL_TRUTH!$N:$N,MATCH($A9,SONG_LEVEL_TRUTH!$A:$A,0)))))),IF(TRIM(INDEX(SONG_LEVEL_TRUTH!$N:$N,MATCH($A9,SONG_LEVEL_TRUTH!$A:$A,0)))=TRIM(INDEX(SONG_LEVEL_TRUTH!$R:$R,MATCH($A9,SONG_LEVEL_TRUTH!$A:$A,0))),"YES","NO"),""),"")</f>
        <v/>
      </c>
      <c r="N9" s="13">
        <f>IFERROR(IF(AND(ISNUMBER(INDEX(SONG_LEVEL_TRUTH!$D:$D,MATCH($A9,SONG_LEVEL_TRUTH!$A:$A,0))),ISNUMBER(INDEX(SONG_LEVEL_TRUTH!$E:$E,MATCH($A9,SONG_LEVEL_TRUTH!$A:$A,0)))),IF(INDEX(SONG_LEVEL_TRUTH!$D:$D,MATCH($A9,SONG_LEVEL_TRUTH!$A:$A,0))=INDEX(SONG_LEVEL_TRUTH!$E:$E,MATCH($A9,SONG_LEVEL_TRUTH!$A:$A,0)),"YES","NO"),""),"")</f>
        <v/>
      </c>
      <c r="O9" s="13">
        <f>IFERROR(IF(AND(ISNUMBER(INDEX(SONG_LEVEL_TRUTH!$D:$D,MATCH($A9,SONG_LEVEL_TRUTH!$A:$A,0))),ISNUMBER(INDEX(SONG_LEVEL_TRUTH!$F:$F,MATCH($A9,SONG_LEVEL_TRUTH!$A:$A,0)))),IF(INDEX(SONG_LEVEL_TRUTH!$D:$D,MATCH($A9,SONG_LEVEL_TRUTH!$A:$A,0))=INDEX(SONG_LEVEL_TRUTH!$F:$F,MATCH($A9,SONG_LEVEL_TRUTH!$A:$A,0)),"YES","NO"),""),"")</f>
        <v/>
      </c>
      <c r="P9" s="13">
        <f>IFERROR(IF(AND(ISNUMBER(INDEX(SONG_LEVEL_TRUTH!$D:$D,MATCH($A9,SONG_LEVEL_TRUTH!$A:$A,0))),ISNUMBER(INDEX(SONG_LEVEL_TRUTH!$G:$G,MATCH($A9,SONG_LEVEL_TRUTH!$A:$A,0)))),IF(INDEX(SONG_LEVEL_TRUTH!$D:$D,MATCH($A9,SONG_LEVEL_TRUTH!$A:$A,0))=INDEX(SONG_LEVEL_TRUTH!$G:$G,MATCH($A9,SONG_LEVEL_TRUTH!$A:$A,0)),"YES","NO"),""),"")</f>
        <v/>
      </c>
      <c r="Q9" s="13">
        <f>IFERROR(IF(AND(ISNUMBER(INDEX(SONG_LEVEL_TRUTH!$D:$D,MATCH($A9,SONG_LEVEL_TRUTH!$A:$A,0))),ISNUMBER(INDEX(SONG_LEVEL_TRUTH!$H:$H,MATCH($A9,SONG_LEVEL_TRUTH!$A:$A,0)))),IF(INDEX(SONG_LEVEL_TRUTH!$D:$D,MATCH($A9,SONG_LEVEL_TRUTH!$A:$A,0))=INDEX(SONG_LEVEL_TRUTH!$H:$H,MATCH($A9,SONG_LEVEL_TRUTH!$A:$A,0)),"YES","NO"),""),"")</f>
        <v/>
      </c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>
      <c r="A10" s="13" t="inlineStr">
        <is>
          <t>TEST_009</t>
        </is>
      </c>
      <c r="B10" s="13" t="n"/>
      <c r="C10" s="13" t="n"/>
      <c r="D10" s="13" t="n"/>
      <c r="E10" s="13" t="n"/>
      <c r="F10" s="14">
        <f>IFERROR(IF(AND(ISNUMBER(INDEX(SONG_LEVEL_TRUTH!$I:$I,MATCH($A10,SONG_LEVEL_TRUTH!$A:$A,0))),ISNUMBER(INDEX(SONG_LEVEL_TRUTH!$J:$J,MATCH($A10,SONG_LEVEL_TRUTH!$A:$A,0)))),ABS(INDEX(SONG_LEVEL_TRUTH!$J:$J,MATCH($A10,SONG_LEVEL_TRUTH!$A:$A,0))-INDEX(SONG_LEVEL_TRUTH!$I:$I,MATCH($A10,SONG_LEVEL_TRUTH!$A:$A,0))),""),"")</f>
        <v/>
      </c>
      <c r="G10" s="14">
        <f>IFERROR(IF(AND(ISNUMBER(INDEX(SONG_LEVEL_TRUTH!$I:$I,MATCH($A10,SONG_LEVEL_TRUTH!$A:$A,0))),ISNUMBER(INDEX(SONG_LEVEL_TRUTH!$K:$K,MATCH($A10,SONG_LEVEL_TRUTH!$A:$A,0)))),ABS(INDEX(SONG_LEVEL_TRUTH!$K:$K,MATCH($A10,SONG_LEVEL_TRUTH!$A:$A,0))-INDEX(SONG_LEVEL_TRUTH!$I:$I,MATCH($A10,SONG_LEVEL_TRUTH!$A:$A,0))),""),"")</f>
        <v/>
      </c>
      <c r="H10" s="14">
        <f>IFERROR(IF(AND(ISNUMBER(INDEX(SONG_LEVEL_TRUTH!$I:$I,MATCH($A10,SONG_LEVEL_TRUTH!$A:$A,0))),ISNUMBER(INDEX(SONG_LEVEL_TRUTH!$L:$L,MATCH($A10,SONG_LEVEL_TRUTH!$A:$A,0)))),ABS(INDEX(SONG_LEVEL_TRUTH!$L:$L,MATCH($A10,SONG_LEVEL_TRUTH!$A:$A,0))-INDEX(SONG_LEVEL_TRUTH!$I:$I,MATCH($A10,SONG_LEVEL_TRUTH!$A:$A,0))),""),"")</f>
        <v/>
      </c>
      <c r="I10" s="14">
        <f>IFERROR(IF(AND(ISNUMBER(INDEX(SONG_LEVEL_TRUTH!$I:$I,MATCH($A10,SONG_LEVEL_TRUTH!$A:$A,0))),ISNUMBER(INDEX(SONG_LEVEL_TRUTH!$M:$M,MATCH($A10,SONG_LEVEL_TRUTH!$A:$A,0)))),ABS(INDEX(SONG_LEVEL_TRUTH!$M:$M,MATCH($A10,SONG_LEVEL_TRUTH!$A:$A,0))-INDEX(SONG_LEVEL_TRUTH!$I:$I,MATCH($A10,SONG_LEVEL_TRUTH!$A:$A,0))),""),"")</f>
        <v/>
      </c>
      <c r="J10" s="13">
        <f>IFERROR(IF(AND(ISNUMBER(FIND("/",INDEX(SONG_LEVEL_TRUTH!$N:$N,MATCH($A10,SONG_LEVEL_TRUTH!$A:$A,0)))),ISNUMBER(FIND("/",INDEX(SONG_LEVEL_TRUTH!$O:$O,MATCH($A10,SONG_LEVEL_TRUTH!$A:$A,0)))),NOT(ISNUMBER(FIND("UNKNOWN",INDEX(SONG_LEVEL_TRUTH!$N:$N,MATCH($A10,SONG_LEVEL_TRUTH!$A:$A,0)))))),IF(TRIM(INDEX(SONG_LEVEL_TRUTH!$N:$N,MATCH($A10,SONG_LEVEL_TRUTH!$A:$A,0)))=TRIM(INDEX(SONG_LEVEL_TRUTH!$O:$O,MATCH($A10,SONG_LEVEL_TRUTH!$A:$A,0))),"YES","NO"),""),"")</f>
        <v/>
      </c>
      <c r="K10" s="13">
        <f>IFERROR(IF(AND(ISNUMBER(FIND("/",INDEX(SONG_LEVEL_TRUTH!$N:$N,MATCH($A10,SONG_LEVEL_TRUTH!$A:$A,0)))),ISNUMBER(FIND("/",INDEX(SONG_LEVEL_TRUTH!$P:$P,MATCH($A10,SONG_LEVEL_TRUTH!$A:$A,0)))),NOT(ISNUMBER(FIND("UNKNOWN",INDEX(SONG_LEVEL_TRUTH!$N:$N,MATCH($A10,SONG_LEVEL_TRUTH!$A:$A,0)))))),IF(TRIM(INDEX(SONG_LEVEL_TRUTH!$N:$N,MATCH($A10,SONG_LEVEL_TRUTH!$A:$A,0)))=TRIM(INDEX(SONG_LEVEL_TRUTH!$P:$P,MATCH($A10,SONG_LEVEL_TRUTH!$A:$A,0))),"YES","NO"),""),"")</f>
        <v/>
      </c>
      <c r="L10" s="13">
        <f>IFERROR(IF(AND(ISNUMBER(FIND("/",INDEX(SONG_LEVEL_TRUTH!$N:$N,MATCH($A10,SONG_LEVEL_TRUTH!$A:$A,0)))),ISNUMBER(FIND("/",INDEX(SONG_LEVEL_TRUTH!$Q:$Q,MATCH($A10,SONG_LEVEL_TRUTH!$A:$A,0)))),NOT(ISNUMBER(FIND("UNKNOWN",INDEX(SONG_LEVEL_TRUTH!$N:$N,MATCH($A10,SONG_LEVEL_TRUTH!$A:$A,0)))))),IF(TRIM(INDEX(SONG_LEVEL_TRUTH!$N:$N,MATCH($A10,SONG_LEVEL_TRUTH!$A:$A,0)))=TRIM(INDEX(SONG_LEVEL_TRUTH!$Q:$Q,MATCH($A10,SONG_LEVEL_TRUTH!$A:$A,0))),"YES","NO"),""),"")</f>
        <v/>
      </c>
      <c r="M10" s="13">
        <f>IFERROR(IF(AND(ISNUMBER(FIND("/",INDEX(SONG_LEVEL_TRUTH!$N:$N,MATCH($A10,SONG_LEVEL_TRUTH!$A:$A,0)))),ISNUMBER(FIND("/",INDEX(SONG_LEVEL_TRUTH!$R:$R,MATCH($A10,SONG_LEVEL_TRUTH!$A:$A,0)))),NOT(ISNUMBER(FIND("UNKNOWN",INDEX(SONG_LEVEL_TRUTH!$N:$N,MATCH($A10,SONG_LEVEL_TRUTH!$A:$A,0)))))),IF(TRIM(INDEX(SONG_LEVEL_TRUTH!$N:$N,MATCH($A10,SONG_LEVEL_TRUTH!$A:$A,0)))=TRIM(INDEX(SONG_LEVEL_TRUTH!$R:$R,MATCH($A10,SONG_LEVEL_TRUTH!$A:$A,0))),"YES","NO"),""),"")</f>
        <v/>
      </c>
      <c r="N10" s="13">
        <f>IFERROR(IF(AND(ISNUMBER(INDEX(SONG_LEVEL_TRUTH!$D:$D,MATCH($A10,SONG_LEVEL_TRUTH!$A:$A,0))),ISNUMBER(INDEX(SONG_LEVEL_TRUTH!$E:$E,MATCH($A10,SONG_LEVEL_TRUTH!$A:$A,0)))),IF(INDEX(SONG_LEVEL_TRUTH!$D:$D,MATCH($A10,SONG_LEVEL_TRUTH!$A:$A,0))=INDEX(SONG_LEVEL_TRUTH!$E:$E,MATCH($A10,SONG_LEVEL_TRUTH!$A:$A,0)),"YES","NO"),""),"")</f>
        <v/>
      </c>
      <c r="O10" s="13">
        <f>IFERROR(IF(AND(ISNUMBER(INDEX(SONG_LEVEL_TRUTH!$D:$D,MATCH($A10,SONG_LEVEL_TRUTH!$A:$A,0))),ISNUMBER(INDEX(SONG_LEVEL_TRUTH!$F:$F,MATCH($A10,SONG_LEVEL_TRUTH!$A:$A,0)))),IF(INDEX(SONG_LEVEL_TRUTH!$D:$D,MATCH($A10,SONG_LEVEL_TRUTH!$A:$A,0))=INDEX(SONG_LEVEL_TRUTH!$F:$F,MATCH($A10,SONG_LEVEL_TRUTH!$A:$A,0)),"YES","NO"),""),"")</f>
        <v/>
      </c>
      <c r="P10" s="13">
        <f>IFERROR(IF(AND(ISNUMBER(INDEX(SONG_LEVEL_TRUTH!$D:$D,MATCH($A10,SONG_LEVEL_TRUTH!$A:$A,0))),ISNUMBER(INDEX(SONG_LEVEL_TRUTH!$G:$G,MATCH($A10,SONG_LEVEL_TRUTH!$A:$A,0)))),IF(INDEX(SONG_LEVEL_TRUTH!$D:$D,MATCH($A10,SONG_LEVEL_TRUTH!$A:$A,0))=INDEX(SONG_LEVEL_TRUTH!$G:$G,MATCH($A10,SONG_LEVEL_TRUTH!$A:$A,0)),"YES","NO"),""),"")</f>
        <v/>
      </c>
      <c r="Q10" s="13">
        <f>IFERROR(IF(AND(ISNUMBER(INDEX(SONG_LEVEL_TRUTH!$D:$D,MATCH($A10,SONG_LEVEL_TRUTH!$A:$A,0))),ISNUMBER(INDEX(SONG_LEVEL_TRUTH!$H:$H,MATCH($A10,SONG_LEVEL_TRUTH!$A:$A,0)))),IF(INDEX(SONG_LEVEL_TRUTH!$D:$D,MATCH($A10,SONG_LEVEL_TRUTH!$A:$A,0))=INDEX(SONG_LEVEL_TRUTH!$H:$H,MATCH($A10,SONG_LEVEL_TRUTH!$A:$A,0)),"YES","NO"),""),"")</f>
        <v/>
      </c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>
      <c r="A11" s="13" t="inlineStr">
        <is>
          <t>TEST_010</t>
        </is>
      </c>
      <c r="B11" s="13" t="n"/>
      <c r="C11" s="13" t="n"/>
      <c r="D11" s="13" t="n"/>
      <c r="E11" s="13" t="n"/>
      <c r="F11" s="14">
        <f>IFERROR(IF(AND(ISNUMBER(INDEX(SONG_LEVEL_TRUTH!$I:$I,MATCH($A11,SONG_LEVEL_TRUTH!$A:$A,0))),ISNUMBER(INDEX(SONG_LEVEL_TRUTH!$J:$J,MATCH($A11,SONG_LEVEL_TRUTH!$A:$A,0)))),ABS(INDEX(SONG_LEVEL_TRUTH!$J:$J,MATCH($A11,SONG_LEVEL_TRUTH!$A:$A,0))-INDEX(SONG_LEVEL_TRUTH!$I:$I,MATCH($A11,SONG_LEVEL_TRUTH!$A:$A,0))),""),"")</f>
        <v/>
      </c>
      <c r="G11" s="14">
        <f>IFERROR(IF(AND(ISNUMBER(INDEX(SONG_LEVEL_TRUTH!$I:$I,MATCH($A11,SONG_LEVEL_TRUTH!$A:$A,0))),ISNUMBER(INDEX(SONG_LEVEL_TRUTH!$K:$K,MATCH($A11,SONG_LEVEL_TRUTH!$A:$A,0)))),ABS(INDEX(SONG_LEVEL_TRUTH!$K:$K,MATCH($A11,SONG_LEVEL_TRUTH!$A:$A,0))-INDEX(SONG_LEVEL_TRUTH!$I:$I,MATCH($A11,SONG_LEVEL_TRUTH!$A:$A,0))),""),"")</f>
        <v/>
      </c>
      <c r="H11" s="14">
        <f>IFERROR(IF(AND(ISNUMBER(INDEX(SONG_LEVEL_TRUTH!$I:$I,MATCH($A11,SONG_LEVEL_TRUTH!$A:$A,0))),ISNUMBER(INDEX(SONG_LEVEL_TRUTH!$L:$L,MATCH($A11,SONG_LEVEL_TRUTH!$A:$A,0)))),ABS(INDEX(SONG_LEVEL_TRUTH!$L:$L,MATCH($A11,SONG_LEVEL_TRUTH!$A:$A,0))-INDEX(SONG_LEVEL_TRUTH!$I:$I,MATCH($A11,SONG_LEVEL_TRUTH!$A:$A,0))),""),"")</f>
        <v/>
      </c>
      <c r="I11" s="14">
        <f>IFERROR(IF(AND(ISNUMBER(INDEX(SONG_LEVEL_TRUTH!$I:$I,MATCH($A11,SONG_LEVEL_TRUTH!$A:$A,0))),ISNUMBER(INDEX(SONG_LEVEL_TRUTH!$M:$M,MATCH($A11,SONG_LEVEL_TRUTH!$A:$A,0)))),ABS(INDEX(SONG_LEVEL_TRUTH!$M:$M,MATCH($A11,SONG_LEVEL_TRUTH!$A:$A,0))-INDEX(SONG_LEVEL_TRUTH!$I:$I,MATCH($A11,SONG_LEVEL_TRUTH!$A:$A,0))),""),"")</f>
        <v/>
      </c>
      <c r="J11" s="13">
        <f>IFERROR(IF(AND(ISNUMBER(FIND("/",INDEX(SONG_LEVEL_TRUTH!$N:$N,MATCH($A11,SONG_LEVEL_TRUTH!$A:$A,0)))),ISNUMBER(FIND("/",INDEX(SONG_LEVEL_TRUTH!$O:$O,MATCH($A11,SONG_LEVEL_TRUTH!$A:$A,0)))),NOT(ISNUMBER(FIND("UNKNOWN",INDEX(SONG_LEVEL_TRUTH!$N:$N,MATCH($A11,SONG_LEVEL_TRUTH!$A:$A,0)))))),IF(TRIM(INDEX(SONG_LEVEL_TRUTH!$N:$N,MATCH($A11,SONG_LEVEL_TRUTH!$A:$A,0)))=TRIM(INDEX(SONG_LEVEL_TRUTH!$O:$O,MATCH($A11,SONG_LEVEL_TRUTH!$A:$A,0))),"YES","NO"),""),"")</f>
        <v/>
      </c>
      <c r="K11" s="13">
        <f>IFERROR(IF(AND(ISNUMBER(FIND("/",INDEX(SONG_LEVEL_TRUTH!$N:$N,MATCH($A11,SONG_LEVEL_TRUTH!$A:$A,0)))),ISNUMBER(FIND("/",INDEX(SONG_LEVEL_TRUTH!$P:$P,MATCH($A11,SONG_LEVEL_TRUTH!$A:$A,0)))),NOT(ISNUMBER(FIND("UNKNOWN",INDEX(SONG_LEVEL_TRUTH!$N:$N,MATCH($A11,SONG_LEVEL_TRUTH!$A:$A,0)))))),IF(TRIM(INDEX(SONG_LEVEL_TRUTH!$N:$N,MATCH($A11,SONG_LEVEL_TRUTH!$A:$A,0)))=TRIM(INDEX(SONG_LEVEL_TRUTH!$P:$P,MATCH($A11,SONG_LEVEL_TRUTH!$A:$A,0))),"YES","NO"),""),"")</f>
        <v/>
      </c>
      <c r="L11" s="13">
        <f>IFERROR(IF(AND(ISNUMBER(FIND("/",INDEX(SONG_LEVEL_TRUTH!$N:$N,MATCH($A11,SONG_LEVEL_TRUTH!$A:$A,0)))),ISNUMBER(FIND("/",INDEX(SONG_LEVEL_TRUTH!$Q:$Q,MATCH($A11,SONG_LEVEL_TRUTH!$A:$A,0)))),NOT(ISNUMBER(FIND("UNKNOWN",INDEX(SONG_LEVEL_TRUTH!$N:$N,MATCH($A11,SONG_LEVEL_TRUTH!$A:$A,0)))))),IF(TRIM(INDEX(SONG_LEVEL_TRUTH!$N:$N,MATCH($A11,SONG_LEVEL_TRUTH!$A:$A,0)))=TRIM(INDEX(SONG_LEVEL_TRUTH!$Q:$Q,MATCH($A11,SONG_LEVEL_TRUTH!$A:$A,0))),"YES","NO"),""),"")</f>
        <v/>
      </c>
      <c r="M11" s="13">
        <f>IFERROR(IF(AND(ISNUMBER(FIND("/",INDEX(SONG_LEVEL_TRUTH!$N:$N,MATCH($A11,SONG_LEVEL_TRUTH!$A:$A,0)))),ISNUMBER(FIND("/",INDEX(SONG_LEVEL_TRUTH!$R:$R,MATCH($A11,SONG_LEVEL_TRUTH!$A:$A,0)))),NOT(ISNUMBER(FIND("UNKNOWN",INDEX(SONG_LEVEL_TRUTH!$N:$N,MATCH($A11,SONG_LEVEL_TRUTH!$A:$A,0)))))),IF(TRIM(INDEX(SONG_LEVEL_TRUTH!$N:$N,MATCH($A11,SONG_LEVEL_TRUTH!$A:$A,0)))=TRIM(INDEX(SONG_LEVEL_TRUTH!$R:$R,MATCH($A11,SONG_LEVEL_TRUTH!$A:$A,0))),"YES","NO"),""),"")</f>
        <v/>
      </c>
      <c r="N11" s="13">
        <f>IFERROR(IF(AND(ISNUMBER(INDEX(SONG_LEVEL_TRUTH!$D:$D,MATCH($A11,SONG_LEVEL_TRUTH!$A:$A,0))),ISNUMBER(INDEX(SONG_LEVEL_TRUTH!$E:$E,MATCH($A11,SONG_LEVEL_TRUTH!$A:$A,0)))),IF(INDEX(SONG_LEVEL_TRUTH!$D:$D,MATCH($A11,SONG_LEVEL_TRUTH!$A:$A,0))=INDEX(SONG_LEVEL_TRUTH!$E:$E,MATCH($A11,SONG_LEVEL_TRUTH!$A:$A,0)),"YES","NO"),""),"")</f>
        <v/>
      </c>
      <c r="O11" s="13">
        <f>IFERROR(IF(AND(ISNUMBER(INDEX(SONG_LEVEL_TRUTH!$D:$D,MATCH($A11,SONG_LEVEL_TRUTH!$A:$A,0))),ISNUMBER(INDEX(SONG_LEVEL_TRUTH!$F:$F,MATCH($A11,SONG_LEVEL_TRUTH!$A:$A,0)))),IF(INDEX(SONG_LEVEL_TRUTH!$D:$D,MATCH($A11,SONG_LEVEL_TRUTH!$A:$A,0))=INDEX(SONG_LEVEL_TRUTH!$F:$F,MATCH($A11,SONG_LEVEL_TRUTH!$A:$A,0)),"YES","NO"),""),"")</f>
        <v/>
      </c>
      <c r="P11" s="13">
        <f>IFERROR(IF(AND(ISNUMBER(INDEX(SONG_LEVEL_TRUTH!$D:$D,MATCH($A11,SONG_LEVEL_TRUTH!$A:$A,0))),ISNUMBER(INDEX(SONG_LEVEL_TRUTH!$G:$G,MATCH($A11,SONG_LEVEL_TRUTH!$A:$A,0)))),IF(INDEX(SONG_LEVEL_TRUTH!$D:$D,MATCH($A11,SONG_LEVEL_TRUTH!$A:$A,0))=INDEX(SONG_LEVEL_TRUTH!$G:$G,MATCH($A11,SONG_LEVEL_TRUTH!$A:$A,0)),"YES","NO"),""),"")</f>
        <v/>
      </c>
      <c r="Q11" s="13">
        <f>IFERROR(IF(AND(ISNUMBER(INDEX(SONG_LEVEL_TRUTH!$D:$D,MATCH($A11,SONG_LEVEL_TRUTH!$A:$A,0))),ISNUMBER(INDEX(SONG_LEVEL_TRUTH!$H:$H,MATCH($A11,SONG_LEVEL_TRUTH!$A:$A,0)))),IF(INDEX(SONG_LEVEL_TRUTH!$D:$D,MATCH($A11,SONG_LEVEL_TRUTH!$A:$A,0))=INDEX(SONG_LEVEL_TRUTH!$H:$H,MATCH($A11,SONG_LEVEL_TRUTH!$A:$A,0)),"YES","NO"),""),"")</f>
        <v/>
      </c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>
      <c r="A12" s="13" t="inlineStr">
        <is>
          <t>TEST_011</t>
        </is>
      </c>
      <c r="B12" s="13" t="n"/>
      <c r="C12" s="13" t="n"/>
      <c r="D12" s="13" t="n"/>
      <c r="E12" s="13" t="n"/>
      <c r="F12" s="14">
        <f>IFERROR(IF(AND(ISNUMBER(INDEX(SONG_LEVEL_TRUTH!$I:$I,MATCH($A12,SONG_LEVEL_TRUTH!$A:$A,0))),ISNUMBER(INDEX(SONG_LEVEL_TRUTH!$J:$J,MATCH($A12,SONG_LEVEL_TRUTH!$A:$A,0)))),ABS(INDEX(SONG_LEVEL_TRUTH!$J:$J,MATCH($A12,SONG_LEVEL_TRUTH!$A:$A,0))-INDEX(SONG_LEVEL_TRUTH!$I:$I,MATCH($A12,SONG_LEVEL_TRUTH!$A:$A,0))),""),"")</f>
        <v/>
      </c>
      <c r="G12" s="14">
        <f>IFERROR(IF(AND(ISNUMBER(INDEX(SONG_LEVEL_TRUTH!$I:$I,MATCH($A12,SONG_LEVEL_TRUTH!$A:$A,0))),ISNUMBER(INDEX(SONG_LEVEL_TRUTH!$K:$K,MATCH($A12,SONG_LEVEL_TRUTH!$A:$A,0)))),ABS(INDEX(SONG_LEVEL_TRUTH!$K:$K,MATCH($A12,SONG_LEVEL_TRUTH!$A:$A,0))-INDEX(SONG_LEVEL_TRUTH!$I:$I,MATCH($A12,SONG_LEVEL_TRUTH!$A:$A,0))),""),"")</f>
        <v/>
      </c>
      <c r="H12" s="14">
        <f>IFERROR(IF(AND(ISNUMBER(INDEX(SONG_LEVEL_TRUTH!$I:$I,MATCH($A12,SONG_LEVEL_TRUTH!$A:$A,0))),ISNUMBER(INDEX(SONG_LEVEL_TRUTH!$L:$L,MATCH($A12,SONG_LEVEL_TRUTH!$A:$A,0)))),ABS(INDEX(SONG_LEVEL_TRUTH!$L:$L,MATCH($A12,SONG_LEVEL_TRUTH!$A:$A,0))-INDEX(SONG_LEVEL_TRUTH!$I:$I,MATCH($A12,SONG_LEVEL_TRUTH!$A:$A,0))),""),"")</f>
        <v/>
      </c>
      <c r="I12" s="14">
        <f>IFERROR(IF(AND(ISNUMBER(INDEX(SONG_LEVEL_TRUTH!$I:$I,MATCH($A12,SONG_LEVEL_TRUTH!$A:$A,0))),ISNUMBER(INDEX(SONG_LEVEL_TRUTH!$M:$M,MATCH($A12,SONG_LEVEL_TRUTH!$A:$A,0)))),ABS(INDEX(SONG_LEVEL_TRUTH!$M:$M,MATCH($A12,SONG_LEVEL_TRUTH!$A:$A,0))-INDEX(SONG_LEVEL_TRUTH!$I:$I,MATCH($A12,SONG_LEVEL_TRUTH!$A:$A,0))),""),"")</f>
        <v/>
      </c>
      <c r="J12" s="13">
        <f>IFERROR(IF(AND(ISNUMBER(FIND("/",INDEX(SONG_LEVEL_TRUTH!$N:$N,MATCH($A12,SONG_LEVEL_TRUTH!$A:$A,0)))),ISNUMBER(FIND("/",INDEX(SONG_LEVEL_TRUTH!$O:$O,MATCH($A12,SONG_LEVEL_TRUTH!$A:$A,0)))),NOT(ISNUMBER(FIND("UNKNOWN",INDEX(SONG_LEVEL_TRUTH!$N:$N,MATCH($A12,SONG_LEVEL_TRUTH!$A:$A,0)))))),IF(TRIM(INDEX(SONG_LEVEL_TRUTH!$N:$N,MATCH($A12,SONG_LEVEL_TRUTH!$A:$A,0)))=TRIM(INDEX(SONG_LEVEL_TRUTH!$O:$O,MATCH($A12,SONG_LEVEL_TRUTH!$A:$A,0))),"YES","NO"),""),"")</f>
        <v/>
      </c>
      <c r="K12" s="13">
        <f>IFERROR(IF(AND(ISNUMBER(FIND("/",INDEX(SONG_LEVEL_TRUTH!$N:$N,MATCH($A12,SONG_LEVEL_TRUTH!$A:$A,0)))),ISNUMBER(FIND("/",INDEX(SONG_LEVEL_TRUTH!$P:$P,MATCH($A12,SONG_LEVEL_TRUTH!$A:$A,0)))),NOT(ISNUMBER(FIND("UNKNOWN",INDEX(SONG_LEVEL_TRUTH!$N:$N,MATCH($A12,SONG_LEVEL_TRUTH!$A:$A,0)))))),IF(TRIM(INDEX(SONG_LEVEL_TRUTH!$N:$N,MATCH($A12,SONG_LEVEL_TRUTH!$A:$A,0)))=TRIM(INDEX(SONG_LEVEL_TRUTH!$P:$P,MATCH($A12,SONG_LEVEL_TRUTH!$A:$A,0))),"YES","NO"),""),"")</f>
        <v/>
      </c>
      <c r="L12" s="13">
        <f>IFERROR(IF(AND(ISNUMBER(FIND("/",INDEX(SONG_LEVEL_TRUTH!$N:$N,MATCH($A12,SONG_LEVEL_TRUTH!$A:$A,0)))),ISNUMBER(FIND("/",INDEX(SONG_LEVEL_TRUTH!$Q:$Q,MATCH($A12,SONG_LEVEL_TRUTH!$A:$A,0)))),NOT(ISNUMBER(FIND("UNKNOWN",INDEX(SONG_LEVEL_TRUTH!$N:$N,MATCH($A12,SONG_LEVEL_TRUTH!$A:$A,0)))))),IF(TRIM(INDEX(SONG_LEVEL_TRUTH!$N:$N,MATCH($A12,SONG_LEVEL_TRUTH!$A:$A,0)))=TRIM(INDEX(SONG_LEVEL_TRUTH!$Q:$Q,MATCH($A12,SONG_LEVEL_TRUTH!$A:$A,0))),"YES","NO"),""),"")</f>
        <v/>
      </c>
      <c r="M12" s="13">
        <f>IFERROR(IF(AND(ISNUMBER(FIND("/",INDEX(SONG_LEVEL_TRUTH!$N:$N,MATCH($A12,SONG_LEVEL_TRUTH!$A:$A,0)))),ISNUMBER(FIND("/",INDEX(SONG_LEVEL_TRUTH!$R:$R,MATCH($A12,SONG_LEVEL_TRUTH!$A:$A,0)))),NOT(ISNUMBER(FIND("UNKNOWN",INDEX(SONG_LEVEL_TRUTH!$N:$N,MATCH($A12,SONG_LEVEL_TRUTH!$A:$A,0)))))),IF(TRIM(INDEX(SONG_LEVEL_TRUTH!$N:$N,MATCH($A12,SONG_LEVEL_TRUTH!$A:$A,0)))=TRIM(INDEX(SONG_LEVEL_TRUTH!$R:$R,MATCH($A12,SONG_LEVEL_TRUTH!$A:$A,0))),"YES","NO"),""),"")</f>
        <v/>
      </c>
      <c r="N12" s="13">
        <f>IFERROR(IF(AND(ISNUMBER(INDEX(SONG_LEVEL_TRUTH!$D:$D,MATCH($A12,SONG_LEVEL_TRUTH!$A:$A,0))),ISNUMBER(INDEX(SONG_LEVEL_TRUTH!$E:$E,MATCH($A12,SONG_LEVEL_TRUTH!$A:$A,0)))),IF(INDEX(SONG_LEVEL_TRUTH!$D:$D,MATCH($A12,SONG_LEVEL_TRUTH!$A:$A,0))=INDEX(SONG_LEVEL_TRUTH!$E:$E,MATCH($A12,SONG_LEVEL_TRUTH!$A:$A,0)),"YES","NO"),""),"")</f>
        <v/>
      </c>
      <c r="O12" s="13">
        <f>IFERROR(IF(AND(ISNUMBER(INDEX(SONG_LEVEL_TRUTH!$D:$D,MATCH($A12,SONG_LEVEL_TRUTH!$A:$A,0))),ISNUMBER(INDEX(SONG_LEVEL_TRUTH!$F:$F,MATCH($A12,SONG_LEVEL_TRUTH!$A:$A,0)))),IF(INDEX(SONG_LEVEL_TRUTH!$D:$D,MATCH($A12,SONG_LEVEL_TRUTH!$A:$A,0))=INDEX(SONG_LEVEL_TRUTH!$F:$F,MATCH($A12,SONG_LEVEL_TRUTH!$A:$A,0)),"YES","NO"),""),"")</f>
        <v/>
      </c>
      <c r="P12" s="13">
        <f>IFERROR(IF(AND(ISNUMBER(INDEX(SONG_LEVEL_TRUTH!$D:$D,MATCH($A12,SONG_LEVEL_TRUTH!$A:$A,0))),ISNUMBER(INDEX(SONG_LEVEL_TRUTH!$G:$G,MATCH($A12,SONG_LEVEL_TRUTH!$A:$A,0)))),IF(INDEX(SONG_LEVEL_TRUTH!$D:$D,MATCH($A12,SONG_LEVEL_TRUTH!$A:$A,0))=INDEX(SONG_LEVEL_TRUTH!$G:$G,MATCH($A12,SONG_LEVEL_TRUTH!$A:$A,0)),"YES","NO"),""),"")</f>
        <v/>
      </c>
      <c r="Q12" s="13">
        <f>IFERROR(IF(AND(ISNUMBER(INDEX(SONG_LEVEL_TRUTH!$D:$D,MATCH($A12,SONG_LEVEL_TRUTH!$A:$A,0))),ISNUMBER(INDEX(SONG_LEVEL_TRUTH!$H:$H,MATCH($A12,SONG_LEVEL_TRUTH!$A:$A,0)))),IF(INDEX(SONG_LEVEL_TRUTH!$D:$D,MATCH($A12,SONG_LEVEL_TRUTH!$A:$A,0))=INDEX(SONG_LEVEL_TRUTH!$H:$H,MATCH($A12,SONG_LEVEL_TRUTH!$A:$A,0)),"YES","NO"),""),"")</f>
        <v/>
      </c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>
      <c r="A13" s="13" t="inlineStr">
        <is>
          <t>TEST_012</t>
        </is>
      </c>
      <c r="B13" s="13" t="n"/>
      <c r="C13" s="13" t="n"/>
      <c r="D13" s="13" t="n"/>
      <c r="E13" s="13" t="n"/>
      <c r="F13" s="14">
        <f>IFERROR(IF(AND(ISNUMBER(INDEX(SONG_LEVEL_TRUTH!$I:$I,MATCH($A13,SONG_LEVEL_TRUTH!$A:$A,0))),ISNUMBER(INDEX(SONG_LEVEL_TRUTH!$J:$J,MATCH($A13,SONG_LEVEL_TRUTH!$A:$A,0)))),ABS(INDEX(SONG_LEVEL_TRUTH!$J:$J,MATCH($A13,SONG_LEVEL_TRUTH!$A:$A,0))-INDEX(SONG_LEVEL_TRUTH!$I:$I,MATCH($A13,SONG_LEVEL_TRUTH!$A:$A,0))),""),"")</f>
        <v/>
      </c>
      <c r="G13" s="14">
        <f>IFERROR(IF(AND(ISNUMBER(INDEX(SONG_LEVEL_TRUTH!$I:$I,MATCH($A13,SONG_LEVEL_TRUTH!$A:$A,0))),ISNUMBER(INDEX(SONG_LEVEL_TRUTH!$K:$K,MATCH($A13,SONG_LEVEL_TRUTH!$A:$A,0)))),ABS(INDEX(SONG_LEVEL_TRUTH!$K:$K,MATCH($A13,SONG_LEVEL_TRUTH!$A:$A,0))-INDEX(SONG_LEVEL_TRUTH!$I:$I,MATCH($A13,SONG_LEVEL_TRUTH!$A:$A,0))),""),"")</f>
        <v/>
      </c>
      <c r="H13" s="14">
        <f>IFERROR(IF(AND(ISNUMBER(INDEX(SONG_LEVEL_TRUTH!$I:$I,MATCH($A13,SONG_LEVEL_TRUTH!$A:$A,0))),ISNUMBER(INDEX(SONG_LEVEL_TRUTH!$L:$L,MATCH($A13,SONG_LEVEL_TRUTH!$A:$A,0)))),ABS(INDEX(SONG_LEVEL_TRUTH!$L:$L,MATCH($A13,SONG_LEVEL_TRUTH!$A:$A,0))-INDEX(SONG_LEVEL_TRUTH!$I:$I,MATCH($A13,SONG_LEVEL_TRUTH!$A:$A,0))),""),"")</f>
        <v/>
      </c>
      <c r="I13" s="14">
        <f>IFERROR(IF(AND(ISNUMBER(INDEX(SONG_LEVEL_TRUTH!$I:$I,MATCH($A13,SONG_LEVEL_TRUTH!$A:$A,0))),ISNUMBER(INDEX(SONG_LEVEL_TRUTH!$M:$M,MATCH($A13,SONG_LEVEL_TRUTH!$A:$A,0)))),ABS(INDEX(SONG_LEVEL_TRUTH!$M:$M,MATCH($A13,SONG_LEVEL_TRUTH!$A:$A,0))-INDEX(SONG_LEVEL_TRUTH!$I:$I,MATCH($A13,SONG_LEVEL_TRUTH!$A:$A,0))),""),"")</f>
        <v/>
      </c>
      <c r="J13" s="13">
        <f>IFERROR(IF(AND(ISNUMBER(FIND("/",INDEX(SONG_LEVEL_TRUTH!$N:$N,MATCH($A13,SONG_LEVEL_TRUTH!$A:$A,0)))),ISNUMBER(FIND("/",INDEX(SONG_LEVEL_TRUTH!$O:$O,MATCH($A13,SONG_LEVEL_TRUTH!$A:$A,0)))),NOT(ISNUMBER(FIND("UNKNOWN",INDEX(SONG_LEVEL_TRUTH!$N:$N,MATCH($A13,SONG_LEVEL_TRUTH!$A:$A,0)))))),IF(TRIM(INDEX(SONG_LEVEL_TRUTH!$N:$N,MATCH($A13,SONG_LEVEL_TRUTH!$A:$A,0)))=TRIM(INDEX(SONG_LEVEL_TRUTH!$O:$O,MATCH($A13,SONG_LEVEL_TRUTH!$A:$A,0))),"YES","NO"),""),"")</f>
        <v/>
      </c>
      <c r="K13" s="13">
        <f>IFERROR(IF(AND(ISNUMBER(FIND("/",INDEX(SONG_LEVEL_TRUTH!$N:$N,MATCH($A13,SONG_LEVEL_TRUTH!$A:$A,0)))),ISNUMBER(FIND("/",INDEX(SONG_LEVEL_TRUTH!$P:$P,MATCH($A13,SONG_LEVEL_TRUTH!$A:$A,0)))),NOT(ISNUMBER(FIND("UNKNOWN",INDEX(SONG_LEVEL_TRUTH!$N:$N,MATCH($A13,SONG_LEVEL_TRUTH!$A:$A,0)))))),IF(TRIM(INDEX(SONG_LEVEL_TRUTH!$N:$N,MATCH($A13,SONG_LEVEL_TRUTH!$A:$A,0)))=TRIM(INDEX(SONG_LEVEL_TRUTH!$P:$P,MATCH($A13,SONG_LEVEL_TRUTH!$A:$A,0))),"YES","NO"),""),"")</f>
        <v/>
      </c>
      <c r="L13" s="13">
        <f>IFERROR(IF(AND(ISNUMBER(FIND("/",INDEX(SONG_LEVEL_TRUTH!$N:$N,MATCH($A13,SONG_LEVEL_TRUTH!$A:$A,0)))),ISNUMBER(FIND("/",INDEX(SONG_LEVEL_TRUTH!$Q:$Q,MATCH($A13,SONG_LEVEL_TRUTH!$A:$A,0)))),NOT(ISNUMBER(FIND("UNKNOWN",INDEX(SONG_LEVEL_TRUTH!$N:$N,MATCH($A13,SONG_LEVEL_TRUTH!$A:$A,0)))))),IF(TRIM(INDEX(SONG_LEVEL_TRUTH!$N:$N,MATCH($A13,SONG_LEVEL_TRUTH!$A:$A,0)))=TRIM(INDEX(SONG_LEVEL_TRUTH!$Q:$Q,MATCH($A13,SONG_LEVEL_TRUTH!$A:$A,0))),"YES","NO"),""),"")</f>
        <v/>
      </c>
      <c r="M13" s="13">
        <f>IFERROR(IF(AND(ISNUMBER(FIND("/",INDEX(SONG_LEVEL_TRUTH!$N:$N,MATCH($A13,SONG_LEVEL_TRUTH!$A:$A,0)))),ISNUMBER(FIND("/",INDEX(SONG_LEVEL_TRUTH!$R:$R,MATCH($A13,SONG_LEVEL_TRUTH!$A:$A,0)))),NOT(ISNUMBER(FIND("UNKNOWN",INDEX(SONG_LEVEL_TRUTH!$N:$N,MATCH($A13,SONG_LEVEL_TRUTH!$A:$A,0)))))),IF(TRIM(INDEX(SONG_LEVEL_TRUTH!$N:$N,MATCH($A13,SONG_LEVEL_TRUTH!$A:$A,0)))=TRIM(INDEX(SONG_LEVEL_TRUTH!$R:$R,MATCH($A13,SONG_LEVEL_TRUTH!$A:$A,0))),"YES","NO"),""),"")</f>
        <v/>
      </c>
      <c r="N13" s="13">
        <f>IFERROR(IF(AND(ISNUMBER(INDEX(SONG_LEVEL_TRUTH!$D:$D,MATCH($A13,SONG_LEVEL_TRUTH!$A:$A,0))),ISNUMBER(INDEX(SONG_LEVEL_TRUTH!$E:$E,MATCH($A13,SONG_LEVEL_TRUTH!$A:$A,0)))),IF(INDEX(SONG_LEVEL_TRUTH!$D:$D,MATCH($A13,SONG_LEVEL_TRUTH!$A:$A,0))=INDEX(SONG_LEVEL_TRUTH!$E:$E,MATCH($A13,SONG_LEVEL_TRUTH!$A:$A,0)),"YES","NO"),""),"")</f>
        <v/>
      </c>
      <c r="O13" s="13">
        <f>IFERROR(IF(AND(ISNUMBER(INDEX(SONG_LEVEL_TRUTH!$D:$D,MATCH($A13,SONG_LEVEL_TRUTH!$A:$A,0))),ISNUMBER(INDEX(SONG_LEVEL_TRUTH!$F:$F,MATCH($A13,SONG_LEVEL_TRUTH!$A:$A,0)))),IF(INDEX(SONG_LEVEL_TRUTH!$D:$D,MATCH($A13,SONG_LEVEL_TRUTH!$A:$A,0))=INDEX(SONG_LEVEL_TRUTH!$F:$F,MATCH($A13,SONG_LEVEL_TRUTH!$A:$A,0)),"YES","NO"),""),"")</f>
        <v/>
      </c>
      <c r="P13" s="13">
        <f>IFERROR(IF(AND(ISNUMBER(INDEX(SONG_LEVEL_TRUTH!$D:$D,MATCH($A13,SONG_LEVEL_TRUTH!$A:$A,0))),ISNUMBER(INDEX(SONG_LEVEL_TRUTH!$G:$G,MATCH($A13,SONG_LEVEL_TRUTH!$A:$A,0)))),IF(INDEX(SONG_LEVEL_TRUTH!$D:$D,MATCH($A13,SONG_LEVEL_TRUTH!$A:$A,0))=INDEX(SONG_LEVEL_TRUTH!$G:$G,MATCH($A13,SONG_LEVEL_TRUTH!$A:$A,0)),"YES","NO"),""),"")</f>
        <v/>
      </c>
      <c r="Q13" s="13">
        <f>IFERROR(IF(AND(ISNUMBER(INDEX(SONG_LEVEL_TRUTH!$D:$D,MATCH($A13,SONG_LEVEL_TRUTH!$A:$A,0))),ISNUMBER(INDEX(SONG_LEVEL_TRUTH!$H:$H,MATCH($A13,SONG_LEVEL_TRUTH!$A:$A,0)))),IF(INDEX(SONG_LEVEL_TRUTH!$D:$D,MATCH($A13,SONG_LEVEL_TRUTH!$A:$A,0))=INDEX(SONG_LEVEL_TRUTH!$H:$H,MATCH($A13,SONG_LEVEL_TRUTH!$A:$A,0)),"YES","NO"),""),"")</f>
        <v/>
      </c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>
      <c r="A14" s="13" t="inlineStr">
        <is>
          <t>TEST_013</t>
        </is>
      </c>
      <c r="B14" s="13" t="n"/>
      <c r="C14" s="13" t="n"/>
      <c r="D14" s="13" t="n"/>
      <c r="E14" s="13" t="n"/>
      <c r="F14" s="14">
        <f>IFERROR(IF(AND(ISNUMBER(INDEX(SONG_LEVEL_TRUTH!$I:$I,MATCH($A14,SONG_LEVEL_TRUTH!$A:$A,0))),ISNUMBER(INDEX(SONG_LEVEL_TRUTH!$J:$J,MATCH($A14,SONG_LEVEL_TRUTH!$A:$A,0)))),ABS(INDEX(SONG_LEVEL_TRUTH!$J:$J,MATCH($A14,SONG_LEVEL_TRUTH!$A:$A,0))-INDEX(SONG_LEVEL_TRUTH!$I:$I,MATCH($A14,SONG_LEVEL_TRUTH!$A:$A,0))),""),"")</f>
        <v/>
      </c>
      <c r="G14" s="14">
        <f>IFERROR(IF(AND(ISNUMBER(INDEX(SONG_LEVEL_TRUTH!$I:$I,MATCH($A14,SONG_LEVEL_TRUTH!$A:$A,0))),ISNUMBER(INDEX(SONG_LEVEL_TRUTH!$K:$K,MATCH($A14,SONG_LEVEL_TRUTH!$A:$A,0)))),ABS(INDEX(SONG_LEVEL_TRUTH!$K:$K,MATCH($A14,SONG_LEVEL_TRUTH!$A:$A,0))-INDEX(SONG_LEVEL_TRUTH!$I:$I,MATCH($A14,SONG_LEVEL_TRUTH!$A:$A,0))),""),"")</f>
        <v/>
      </c>
      <c r="H14" s="14">
        <f>IFERROR(IF(AND(ISNUMBER(INDEX(SONG_LEVEL_TRUTH!$I:$I,MATCH($A14,SONG_LEVEL_TRUTH!$A:$A,0))),ISNUMBER(INDEX(SONG_LEVEL_TRUTH!$L:$L,MATCH($A14,SONG_LEVEL_TRUTH!$A:$A,0)))),ABS(INDEX(SONG_LEVEL_TRUTH!$L:$L,MATCH($A14,SONG_LEVEL_TRUTH!$A:$A,0))-INDEX(SONG_LEVEL_TRUTH!$I:$I,MATCH($A14,SONG_LEVEL_TRUTH!$A:$A,0))),""),"")</f>
        <v/>
      </c>
      <c r="I14" s="14">
        <f>IFERROR(IF(AND(ISNUMBER(INDEX(SONG_LEVEL_TRUTH!$I:$I,MATCH($A14,SONG_LEVEL_TRUTH!$A:$A,0))),ISNUMBER(INDEX(SONG_LEVEL_TRUTH!$M:$M,MATCH($A14,SONG_LEVEL_TRUTH!$A:$A,0)))),ABS(INDEX(SONG_LEVEL_TRUTH!$M:$M,MATCH($A14,SONG_LEVEL_TRUTH!$A:$A,0))-INDEX(SONG_LEVEL_TRUTH!$I:$I,MATCH($A14,SONG_LEVEL_TRUTH!$A:$A,0))),""),"")</f>
        <v/>
      </c>
      <c r="J14" s="13">
        <f>IFERROR(IF(AND(ISNUMBER(FIND("/",INDEX(SONG_LEVEL_TRUTH!$N:$N,MATCH($A14,SONG_LEVEL_TRUTH!$A:$A,0)))),ISNUMBER(FIND("/",INDEX(SONG_LEVEL_TRUTH!$O:$O,MATCH($A14,SONG_LEVEL_TRUTH!$A:$A,0)))),NOT(ISNUMBER(FIND("UNKNOWN",INDEX(SONG_LEVEL_TRUTH!$N:$N,MATCH($A14,SONG_LEVEL_TRUTH!$A:$A,0)))))),IF(TRIM(INDEX(SONG_LEVEL_TRUTH!$N:$N,MATCH($A14,SONG_LEVEL_TRUTH!$A:$A,0)))=TRIM(INDEX(SONG_LEVEL_TRUTH!$O:$O,MATCH($A14,SONG_LEVEL_TRUTH!$A:$A,0))),"YES","NO"),""),"")</f>
        <v/>
      </c>
      <c r="K14" s="13">
        <f>IFERROR(IF(AND(ISNUMBER(FIND("/",INDEX(SONG_LEVEL_TRUTH!$N:$N,MATCH($A14,SONG_LEVEL_TRUTH!$A:$A,0)))),ISNUMBER(FIND("/",INDEX(SONG_LEVEL_TRUTH!$P:$P,MATCH($A14,SONG_LEVEL_TRUTH!$A:$A,0)))),NOT(ISNUMBER(FIND("UNKNOWN",INDEX(SONG_LEVEL_TRUTH!$N:$N,MATCH($A14,SONG_LEVEL_TRUTH!$A:$A,0)))))),IF(TRIM(INDEX(SONG_LEVEL_TRUTH!$N:$N,MATCH($A14,SONG_LEVEL_TRUTH!$A:$A,0)))=TRIM(INDEX(SONG_LEVEL_TRUTH!$P:$P,MATCH($A14,SONG_LEVEL_TRUTH!$A:$A,0))),"YES","NO"),""),"")</f>
        <v/>
      </c>
      <c r="L14" s="13">
        <f>IFERROR(IF(AND(ISNUMBER(FIND("/",INDEX(SONG_LEVEL_TRUTH!$N:$N,MATCH($A14,SONG_LEVEL_TRUTH!$A:$A,0)))),ISNUMBER(FIND("/",INDEX(SONG_LEVEL_TRUTH!$Q:$Q,MATCH($A14,SONG_LEVEL_TRUTH!$A:$A,0)))),NOT(ISNUMBER(FIND("UNKNOWN",INDEX(SONG_LEVEL_TRUTH!$N:$N,MATCH($A14,SONG_LEVEL_TRUTH!$A:$A,0)))))),IF(TRIM(INDEX(SONG_LEVEL_TRUTH!$N:$N,MATCH($A14,SONG_LEVEL_TRUTH!$A:$A,0)))=TRIM(INDEX(SONG_LEVEL_TRUTH!$Q:$Q,MATCH($A14,SONG_LEVEL_TRUTH!$A:$A,0))),"YES","NO"),""),"")</f>
        <v/>
      </c>
      <c r="M14" s="13">
        <f>IFERROR(IF(AND(ISNUMBER(FIND("/",INDEX(SONG_LEVEL_TRUTH!$N:$N,MATCH($A14,SONG_LEVEL_TRUTH!$A:$A,0)))),ISNUMBER(FIND("/",INDEX(SONG_LEVEL_TRUTH!$R:$R,MATCH($A14,SONG_LEVEL_TRUTH!$A:$A,0)))),NOT(ISNUMBER(FIND("UNKNOWN",INDEX(SONG_LEVEL_TRUTH!$N:$N,MATCH($A14,SONG_LEVEL_TRUTH!$A:$A,0)))))),IF(TRIM(INDEX(SONG_LEVEL_TRUTH!$N:$N,MATCH($A14,SONG_LEVEL_TRUTH!$A:$A,0)))=TRIM(INDEX(SONG_LEVEL_TRUTH!$R:$R,MATCH($A14,SONG_LEVEL_TRUTH!$A:$A,0))),"YES","NO"),""),"")</f>
        <v/>
      </c>
      <c r="N14" s="13">
        <f>IFERROR(IF(AND(ISNUMBER(INDEX(SONG_LEVEL_TRUTH!$D:$D,MATCH($A14,SONG_LEVEL_TRUTH!$A:$A,0))),ISNUMBER(INDEX(SONG_LEVEL_TRUTH!$E:$E,MATCH($A14,SONG_LEVEL_TRUTH!$A:$A,0)))),IF(INDEX(SONG_LEVEL_TRUTH!$D:$D,MATCH($A14,SONG_LEVEL_TRUTH!$A:$A,0))=INDEX(SONG_LEVEL_TRUTH!$E:$E,MATCH($A14,SONG_LEVEL_TRUTH!$A:$A,0)),"YES","NO"),""),"")</f>
        <v/>
      </c>
      <c r="O14" s="13">
        <f>IFERROR(IF(AND(ISNUMBER(INDEX(SONG_LEVEL_TRUTH!$D:$D,MATCH($A14,SONG_LEVEL_TRUTH!$A:$A,0))),ISNUMBER(INDEX(SONG_LEVEL_TRUTH!$F:$F,MATCH($A14,SONG_LEVEL_TRUTH!$A:$A,0)))),IF(INDEX(SONG_LEVEL_TRUTH!$D:$D,MATCH($A14,SONG_LEVEL_TRUTH!$A:$A,0))=INDEX(SONG_LEVEL_TRUTH!$F:$F,MATCH($A14,SONG_LEVEL_TRUTH!$A:$A,0)),"YES","NO"),""),"")</f>
        <v/>
      </c>
      <c r="P14" s="13">
        <f>IFERROR(IF(AND(ISNUMBER(INDEX(SONG_LEVEL_TRUTH!$D:$D,MATCH($A14,SONG_LEVEL_TRUTH!$A:$A,0))),ISNUMBER(INDEX(SONG_LEVEL_TRUTH!$G:$G,MATCH($A14,SONG_LEVEL_TRUTH!$A:$A,0)))),IF(INDEX(SONG_LEVEL_TRUTH!$D:$D,MATCH($A14,SONG_LEVEL_TRUTH!$A:$A,0))=INDEX(SONG_LEVEL_TRUTH!$G:$G,MATCH($A14,SONG_LEVEL_TRUTH!$A:$A,0)),"YES","NO"),""),"")</f>
        <v/>
      </c>
      <c r="Q14" s="13">
        <f>IFERROR(IF(AND(ISNUMBER(INDEX(SONG_LEVEL_TRUTH!$D:$D,MATCH($A14,SONG_LEVEL_TRUTH!$A:$A,0))),ISNUMBER(INDEX(SONG_LEVEL_TRUTH!$H:$H,MATCH($A14,SONG_LEVEL_TRUTH!$A:$A,0)))),IF(INDEX(SONG_LEVEL_TRUTH!$D:$D,MATCH($A14,SONG_LEVEL_TRUTH!$A:$A,0))=INDEX(SONG_LEVEL_TRUTH!$H:$H,MATCH($A14,SONG_LEVEL_TRUTH!$A:$A,0)),"YES","NO"),""),"")</f>
        <v/>
      </c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>
      <c r="A15" s="13" t="inlineStr">
        <is>
          <t>TEST_014</t>
        </is>
      </c>
      <c r="B15" s="13" t="n"/>
      <c r="C15" s="13" t="n"/>
      <c r="D15" s="13" t="n"/>
      <c r="E15" s="13" t="n"/>
      <c r="F15" s="14">
        <f>IFERROR(IF(AND(ISNUMBER(INDEX(SONG_LEVEL_TRUTH!$I:$I,MATCH($A15,SONG_LEVEL_TRUTH!$A:$A,0))),ISNUMBER(INDEX(SONG_LEVEL_TRUTH!$J:$J,MATCH($A15,SONG_LEVEL_TRUTH!$A:$A,0)))),ABS(INDEX(SONG_LEVEL_TRUTH!$J:$J,MATCH($A15,SONG_LEVEL_TRUTH!$A:$A,0))-INDEX(SONG_LEVEL_TRUTH!$I:$I,MATCH($A15,SONG_LEVEL_TRUTH!$A:$A,0))),""),"")</f>
        <v/>
      </c>
      <c r="G15" s="14">
        <f>IFERROR(IF(AND(ISNUMBER(INDEX(SONG_LEVEL_TRUTH!$I:$I,MATCH($A15,SONG_LEVEL_TRUTH!$A:$A,0))),ISNUMBER(INDEX(SONG_LEVEL_TRUTH!$K:$K,MATCH($A15,SONG_LEVEL_TRUTH!$A:$A,0)))),ABS(INDEX(SONG_LEVEL_TRUTH!$K:$K,MATCH($A15,SONG_LEVEL_TRUTH!$A:$A,0))-INDEX(SONG_LEVEL_TRUTH!$I:$I,MATCH($A15,SONG_LEVEL_TRUTH!$A:$A,0))),""),"")</f>
        <v/>
      </c>
      <c r="H15" s="14">
        <f>IFERROR(IF(AND(ISNUMBER(INDEX(SONG_LEVEL_TRUTH!$I:$I,MATCH($A15,SONG_LEVEL_TRUTH!$A:$A,0))),ISNUMBER(INDEX(SONG_LEVEL_TRUTH!$L:$L,MATCH($A15,SONG_LEVEL_TRUTH!$A:$A,0)))),ABS(INDEX(SONG_LEVEL_TRUTH!$L:$L,MATCH($A15,SONG_LEVEL_TRUTH!$A:$A,0))-INDEX(SONG_LEVEL_TRUTH!$I:$I,MATCH($A15,SONG_LEVEL_TRUTH!$A:$A,0))),""),"")</f>
        <v/>
      </c>
      <c r="I15" s="14">
        <f>IFERROR(IF(AND(ISNUMBER(INDEX(SONG_LEVEL_TRUTH!$I:$I,MATCH($A15,SONG_LEVEL_TRUTH!$A:$A,0))),ISNUMBER(INDEX(SONG_LEVEL_TRUTH!$M:$M,MATCH($A15,SONG_LEVEL_TRUTH!$A:$A,0)))),ABS(INDEX(SONG_LEVEL_TRUTH!$M:$M,MATCH($A15,SONG_LEVEL_TRUTH!$A:$A,0))-INDEX(SONG_LEVEL_TRUTH!$I:$I,MATCH($A15,SONG_LEVEL_TRUTH!$A:$A,0))),""),"")</f>
        <v/>
      </c>
      <c r="J15" s="13">
        <f>IFERROR(IF(AND(ISNUMBER(FIND("/",INDEX(SONG_LEVEL_TRUTH!$N:$N,MATCH($A15,SONG_LEVEL_TRUTH!$A:$A,0)))),ISNUMBER(FIND("/",INDEX(SONG_LEVEL_TRUTH!$O:$O,MATCH($A15,SONG_LEVEL_TRUTH!$A:$A,0)))),NOT(ISNUMBER(FIND("UNKNOWN",INDEX(SONG_LEVEL_TRUTH!$N:$N,MATCH($A15,SONG_LEVEL_TRUTH!$A:$A,0)))))),IF(TRIM(INDEX(SONG_LEVEL_TRUTH!$N:$N,MATCH($A15,SONG_LEVEL_TRUTH!$A:$A,0)))=TRIM(INDEX(SONG_LEVEL_TRUTH!$O:$O,MATCH($A15,SONG_LEVEL_TRUTH!$A:$A,0))),"YES","NO"),""),"")</f>
        <v/>
      </c>
      <c r="K15" s="13">
        <f>IFERROR(IF(AND(ISNUMBER(FIND("/",INDEX(SONG_LEVEL_TRUTH!$N:$N,MATCH($A15,SONG_LEVEL_TRUTH!$A:$A,0)))),ISNUMBER(FIND("/",INDEX(SONG_LEVEL_TRUTH!$P:$P,MATCH($A15,SONG_LEVEL_TRUTH!$A:$A,0)))),NOT(ISNUMBER(FIND("UNKNOWN",INDEX(SONG_LEVEL_TRUTH!$N:$N,MATCH($A15,SONG_LEVEL_TRUTH!$A:$A,0)))))),IF(TRIM(INDEX(SONG_LEVEL_TRUTH!$N:$N,MATCH($A15,SONG_LEVEL_TRUTH!$A:$A,0)))=TRIM(INDEX(SONG_LEVEL_TRUTH!$P:$P,MATCH($A15,SONG_LEVEL_TRUTH!$A:$A,0))),"YES","NO"),""),"")</f>
        <v/>
      </c>
      <c r="L15" s="13">
        <f>IFERROR(IF(AND(ISNUMBER(FIND("/",INDEX(SONG_LEVEL_TRUTH!$N:$N,MATCH($A15,SONG_LEVEL_TRUTH!$A:$A,0)))),ISNUMBER(FIND("/",INDEX(SONG_LEVEL_TRUTH!$Q:$Q,MATCH($A15,SONG_LEVEL_TRUTH!$A:$A,0)))),NOT(ISNUMBER(FIND("UNKNOWN",INDEX(SONG_LEVEL_TRUTH!$N:$N,MATCH($A15,SONG_LEVEL_TRUTH!$A:$A,0)))))),IF(TRIM(INDEX(SONG_LEVEL_TRUTH!$N:$N,MATCH($A15,SONG_LEVEL_TRUTH!$A:$A,0)))=TRIM(INDEX(SONG_LEVEL_TRUTH!$Q:$Q,MATCH($A15,SONG_LEVEL_TRUTH!$A:$A,0))),"YES","NO"),""),"")</f>
        <v/>
      </c>
      <c r="M15" s="13">
        <f>IFERROR(IF(AND(ISNUMBER(FIND("/",INDEX(SONG_LEVEL_TRUTH!$N:$N,MATCH($A15,SONG_LEVEL_TRUTH!$A:$A,0)))),ISNUMBER(FIND("/",INDEX(SONG_LEVEL_TRUTH!$R:$R,MATCH($A15,SONG_LEVEL_TRUTH!$A:$A,0)))),NOT(ISNUMBER(FIND("UNKNOWN",INDEX(SONG_LEVEL_TRUTH!$N:$N,MATCH($A15,SONG_LEVEL_TRUTH!$A:$A,0)))))),IF(TRIM(INDEX(SONG_LEVEL_TRUTH!$N:$N,MATCH($A15,SONG_LEVEL_TRUTH!$A:$A,0)))=TRIM(INDEX(SONG_LEVEL_TRUTH!$R:$R,MATCH($A15,SONG_LEVEL_TRUTH!$A:$A,0))),"YES","NO"),""),"")</f>
        <v/>
      </c>
      <c r="N15" s="13">
        <f>IFERROR(IF(AND(ISNUMBER(INDEX(SONG_LEVEL_TRUTH!$D:$D,MATCH($A15,SONG_LEVEL_TRUTH!$A:$A,0))),ISNUMBER(INDEX(SONG_LEVEL_TRUTH!$E:$E,MATCH($A15,SONG_LEVEL_TRUTH!$A:$A,0)))),IF(INDEX(SONG_LEVEL_TRUTH!$D:$D,MATCH($A15,SONG_LEVEL_TRUTH!$A:$A,0))=INDEX(SONG_LEVEL_TRUTH!$E:$E,MATCH($A15,SONG_LEVEL_TRUTH!$A:$A,0)),"YES","NO"),""),"")</f>
        <v/>
      </c>
      <c r="O15" s="13">
        <f>IFERROR(IF(AND(ISNUMBER(INDEX(SONG_LEVEL_TRUTH!$D:$D,MATCH($A15,SONG_LEVEL_TRUTH!$A:$A,0))),ISNUMBER(INDEX(SONG_LEVEL_TRUTH!$F:$F,MATCH($A15,SONG_LEVEL_TRUTH!$A:$A,0)))),IF(INDEX(SONG_LEVEL_TRUTH!$D:$D,MATCH($A15,SONG_LEVEL_TRUTH!$A:$A,0))=INDEX(SONG_LEVEL_TRUTH!$F:$F,MATCH($A15,SONG_LEVEL_TRUTH!$A:$A,0)),"YES","NO"),""),"")</f>
        <v/>
      </c>
      <c r="P15" s="13">
        <f>IFERROR(IF(AND(ISNUMBER(INDEX(SONG_LEVEL_TRUTH!$D:$D,MATCH($A15,SONG_LEVEL_TRUTH!$A:$A,0))),ISNUMBER(INDEX(SONG_LEVEL_TRUTH!$G:$G,MATCH($A15,SONG_LEVEL_TRUTH!$A:$A,0)))),IF(INDEX(SONG_LEVEL_TRUTH!$D:$D,MATCH($A15,SONG_LEVEL_TRUTH!$A:$A,0))=INDEX(SONG_LEVEL_TRUTH!$G:$G,MATCH($A15,SONG_LEVEL_TRUTH!$A:$A,0)),"YES","NO"),""),"")</f>
        <v/>
      </c>
      <c r="Q15" s="13">
        <f>IFERROR(IF(AND(ISNUMBER(INDEX(SONG_LEVEL_TRUTH!$D:$D,MATCH($A15,SONG_LEVEL_TRUTH!$A:$A,0))),ISNUMBER(INDEX(SONG_LEVEL_TRUTH!$H:$H,MATCH($A15,SONG_LEVEL_TRUTH!$A:$A,0)))),IF(INDEX(SONG_LEVEL_TRUTH!$D:$D,MATCH($A15,SONG_LEVEL_TRUTH!$A:$A,0))=INDEX(SONG_LEVEL_TRUTH!$H:$H,MATCH($A15,SONG_LEVEL_TRUTH!$A:$A,0)),"YES","NO"),""),"")</f>
        <v/>
      </c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>
      <c r="A16" s="13" t="inlineStr">
        <is>
          <t>TEST_015</t>
        </is>
      </c>
      <c r="B16" s="13" t="n"/>
      <c r="C16" s="13" t="n"/>
      <c r="D16" s="13" t="n"/>
      <c r="E16" s="13" t="n"/>
      <c r="F16" s="14">
        <f>IFERROR(IF(AND(ISNUMBER(INDEX(SONG_LEVEL_TRUTH!$I:$I,MATCH($A16,SONG_LEVEL_TRUTH!$A:$A,0))),ISNUMBER(INDEX(SONG_LEVEL_TRUTH!$J:$J,MATCH($A16,SONG_LEVEL_TRUTH!$A:$A,0)))),ABS(INDEX(SONG_LEVEL_TRUTH!$J:$J,MATCH($A16,SONG_LEVEL_TRUTH!$A:$A,0))-INDEX(SONG_LEVEL_TRUTH!$I:$I,MATCH($A16,SONG_LEVEL_TRUTH!$A:$A,0))),""),"")</f>
        <v/>
      </c>
      <c r="G16" s="14">
        <f>IFERROR(IF(AND(ISNUMBER(INDEX(SONG_LEVEL_TRUTH!$I:$I,MATCH($A16,SONG_LEVEL_TRUTH!$A:$A,0))),ISNUMBER(INDEX(SONG_LEVEL_TRUTH!$K:$K,MATCH($A16,SONG_LEVEL_TRUTH!$A:$A,0)))),ABS(INDEX(SONG_LEVEL_TRUTH!$K:$K,MATCH($A16,SONG_LEVEL_TRUTH!$A:$A,0))-INDEX(SONG_LEVEL_TRUTH!$I:$I,MATCH($A16,SONG_LEVEL_TRUTH!$A:$A,0))),""),"")</f>
        <v/>
      </c>
      <c r="H16" s="14">
        <f>IFERROR(IF(AND(ISNUMBER(INDEX(SONG_LEVEL_TRUTH!$I:$I,MATCH($A16,SONG_LEVEL_TRUTH!$A:$A,0))),ISNUMBER(INDEX(SONG_LEVEL_TRUTH!$L:$L,MATCH($A16,SONG_LEVEL_TRUTH!$A:$A,0)))),ABS(INDEX(SONG_LEVEL_TRUTH!$L:$L,MATCH($A16,SONG_LEVEL_TRUTH!$A:$A,0))-INDEX(SONG_LEVEL_TRUTH!$I:$I,MATCH($A16,SONG_LEVEL_TRUTH!$A:$A,0))),""),"")</f>
        <v/>
      </c>
      <c r="I16" s="14">
        <f>IFERROR(IF(AND(ISNUMBER(INDEX(SONG_LEVEL_TRUTH!$I:$I,MATCH($A16,SONG_LEVEL_TRUTH!$A:$A,0))),ISNUMBER(INDEX(SONG_LEVEL_TRUTH!$M:$M,MATCH($A16,SONG_LEVEL_TRUTH!$A:$A,0)))),ABS(INDEX(SONG_LEVEL_TRUTH!$M:$M,MATCH($A16,SONG_LEVEL_TRUTH!$A:$A,0))-INDEX(SONG_LEVEL_TRUTH!$I:$I,MATCH($A16,SONG_LEVEL_TRUTH!$A:$A,0))),""),"")</f>
        <v/>
      </c>
      <c r="J16" s="13">
        <f>IFERROR(IF(AND(ISNUMBER(FIND("/",INDEX(SONG_LEVEL_TRUTH!$N:$N,MATCH($A16,SONG_LEVEL_TRUTH!$A:$A,0)))),ISNUMBER(FIND("/",INDEX(SONG_LEVEL_TRUTH!$O:$O,MATCH($A16,SONG_LEVEL_TRUTH!$A:$A,0)))),NOT(ISNUMBER(FIND("UNKNOWN",INDEX(SONG_LEVEL_TRUTH!$N:$N,MATCH($A16,SONG_LEVEL_TRUTH!$A:$A,0)))))),IF(TRIM(INDEX(SONG_LEVEL_TRUTH!$N:$N,MATCH($A16,SONG_LEVEL_TRUTH!$A:$A,0)))=TRIM(INDEX(SONG_LEVEL_TRUTH!$O:$O,MATCH($A16,SONG_LEVEL_TRUTH!$A:$A,0))),"YES","NO"),""),"")</f>
        <v/>
      </c>
      <c r="K16" s="13">
        <f>IFERROR(IF(AND(ISNUMBER(FIND("/",INDEX(SONG_LEVEL_TRUTH!$N:$N,MATCH($A16,SONG_LEVEL_TRUTH!$A:$A,0)))),ISNUMBER(FIND("/",INDEX(SONG_LEVEL_TRUTH!$P:$P,MATCH($A16,SONG_LEVEL_TRUTH!$A:$A,0)))),NOT(ISNUMBER(FIND("UNKNOWN",INDEX(SONG_LEVEL_TRUTH!$N:$N,MATCH($A16,SONG_LEVEL_TRUTH!$A:$A,0)))))),IF(TRIM(INDEX(SONG_LEVEL_TRUTH!$N:$N,MATCH($A16,SONG_LEVEL_TRUTH!$A:$A,0)))=TRIM(INDEX(SONG_LEVEL_TRUTH!$P:$P,MATCH($A16,SONG_LEVEL_TRUTH!$A:$A,0))),"YES","NO"),""),"")</f>
        <v/>
      </c>
      <c r="L16" s="13">
        <f>IFERROR(IF(AND(ISNUMBER(FIND("/",INDEX(SONG_LEVEL_TRUTH!$N:$N,MATCH($A16,SONG_LEVEL_TRUTH!$A:$A,0)))),ISNUMBER(FIND("/",INDEX(SONG_LEVEL_TRUTH!$Q:$Q,MATCH($A16,SONG_LEVEL_TRUTH!$A:$A,0)))),NOT(ISNUMBER(FIND("UNKNOWN",INDEX(SONG_LEVEL_TRUTH!$N:$N,MATCH($A16,SONG_LEVEL_TRUTH!$A:$A,0)))))),IF(TRIM(INDEX(SONG_LEVEL_TRUTH!$N:$N,MATCH($A16,SONG_LEVEL_TRUTH!$A:$A,0)))=TRIM(INDEX(SONG_LEVEL_TRUTH!$Q:$Q,MATCH($A16,SONG_LEVEL_TRUTH!$A:$A,0))),"YES","NO"),""),"")</f>
        <v/>
      </c>
      <c r="M16" s="13">
        <f>IFERROR(IF(AND(ISNUMBER(FIND("/",INDEX(SONG_LEVEL_TRUTH!$N:$N,MATCH($A16,SONG_LEVEL_TRUTH!$A:$A,0)))),ISNUMBER(FIND("/",INDEX(SONG_LEVEL_TRUTH!$R:$R,MATCH($A16,SONG_LEVEL_TRUTH!$A:$A,0)))),NOT(ISNUMBER(FIND("UNKNOWN",INDEX(SONG_LEVEL_TRUTH!$N:$N,MATCH($A16,SONG_LEVEL_TRUTH!$A:$A,0)))))),IF(TRIM(INDEX(SONG_LEVEL_TRUTH!$N:$N,MATCH($A16,SONG_LEVEL_TRUTH!$A:$A,0)))=TRIM(INDEX(SONG_LEVEL_TRUTH!$R:$R,MATCH($A16,SONG_LEVEL_TRUTH!$A:$A,0))),"YES","NO"),""),"")</f>
        <v/>
      </c>
      <c r="N16" s="13">
        <f>IFERROR(IF(AND(ISNUMBER(INDEX(SONG_LEVEL_TRUTH!$D:$D,MATCH($A16,SONG_LEVEL_TRUTH!$A:$A,0))),ISNUMBER(INDEX(SONG_LEVEL_TRUTH!$E:$E,MATCH($A16,SONG_LEVEL_TRUTH!$A:$A,0)))),IF(INDEX(SONG_LEVEL_TRUTH!$D:$D,MATCH($A16,SONG_LEVEL_TRUTH!$A:$A,0))=INDEX(SONG_LEVEL_TRUTH!$E:$E,MATCH($A16,SONG_LEVEL_TRUTH!$A:$A,0)),"YES","NO"),""),"")</f>
        <v/>
      </c>
      <c r="O16" s="13">
        <f>IFERROR(IF(AND(ISNUMBER(INDEX(SONG_LEVEL_TRUTH!$D:$D,MATCH($A16,SONG_LEVEL_TRUTH!$A:$A,0))),ISNUMBER(INDEX(SONG_LEVEL_TRUTH!$F:$F,MATCH($A16,SONG_LEVEL_TRUTH!$A:$A,0)))),IF(INDEX(SONG_LEVEL_TRUTH!$D:$D,MATCH($A16,SONG_LEVEL_TRUTH!$A:$A,0))=INDEX(SONG_LEVEL_TRUTH!$F:$F,MATCH($A16,SONG_LEVEL_TRUTH!$A:$A,0)),"YES","NO"),""),"")</f>
        <v/>
      </c>
      <c r="P16" s="13">
        <f>IFERROR(IF(AND(ISNUMBER(INDEX(SONG_LEVEL_TRUTH!$D:$D,MATCH($A16,SONG_LEVEL_TRUTH!$A:$A,0))),ISNUMBER(INDEX(SONG_LEVEL_TRUTH!$G:$G,MATCH($A16,SONG_LEVEL_TRUTH!$A:$A,0)))),IF(INDEX(SONG_LEVEL_TRUTH!$D:$D,MATCH($A16,SONG_LEVEL_TRUTH!$A:$A,0))=INDEX(SONG_LEVEL_TRUTH!$G:$G,MATCH($A16,SONG_LEVEL_TRUTH!$A:$A,0)),"YES","NO"),""),"")</f>
        <v/>
      </c>
      <c r="Q16" s="13">
        <f>IFERROR(IF(AND(ISNUMBER(INDEX(SONG_LEVEL_TRUTH!$D:$D,MATCH($A16,SONG_LEVEL_TRUTH!$A:$A,0))),ISNUMBER(INDEX(SONG_LEVEL_TRUTH!$H:$H,MATCH($A16,SONG_LEVEL_TRUTH!$A:$A,0)))),IF(INDEX(SONG_LEVEL_TRUTH!$D:$D,MATCH($A16,SONG_LEVEL_TRUTH!$A:$A,0))=INDEX(SONG_LEVEL_TRUTH!$H:$H,MATCH($A16,SONG_LEVEL_TRUTH!$A:$A,0)),"YES","NO"),""),"")</f>
        <v/>
      </c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>
      <c r="A17" s="13" t="inlineStr">
        <is>
          <t>TEST_016</t>
        </is>
      </c>
      <c r="B17" s="13" t="n"/>
      <c r="C17" s="13" t="n"/>
      <c r="D17" s="13" t="n"/>
      <c r="E17" s="13" t="n"/>
      <c r="F17" s="14">
        <f>IFERROR(IF(AND(ISNUMBER(INDEX(SONG_LEVEL_TRUTH!$I:$I,MATCH($A17,SONG_LEVEL_TRUTH!$A:$A,0))),ISNUMBER(INDEX(SONG_LEVEL_TRUTH!$J:$J,MATCH($A17,SONG_LEVEL_TRUTH!$A:$A,0)))),ABS(INDEX(SONG_LEVEL_TRUTH!$J:$J,MATCH($A17,SONG_LEVEL_TRUTH!$A:$A,0))-INDEX(SONG_LEVEL_TRUTH!$I:$I,MATCH($A17,SONG_LEVEL_TRUTH!$A:$A,0))),""),"")</f>
        <v/>
      </c>
      <c r="G17" s="14">
        <f>IFERROR(IF(AND(ISNUMBER(INDEX(SONG_LEVEL_TRUTH!$I:$I,MATCH($A17,SONG_LEVEL_TRUTH!$A:$A,0))),ISNUMBER(INDEX(SONG_LEVEL_TRUTH!$K:$K,MATCH($A17,SONG_LEVEL_TRUTH!$A:$A,0)))),ABS(INDEX(SONG_LEVEL_TRUTH!$K:$K,MATCH($A17,SONG_LEVEL_TRUTH!$A:$A,0))-INDEX(SONG_LEVEL_TRUTH!$I:$I,MATCH($A17,SONG_LEVEL_TRUTH!$A:$A,0))),""),"")</f>
        <v/>
      </c>
      <c r="H17" s="14">
        <f>IFERROR(IF(AND(ISNUMBER(INDEX(SONG_LEVEL_TRUTH!$I:$I,MATCH($A17,SONG_LEVEL_TRUTH!$A:$A,0))),ISNUMBER(INDEX(SONG_LEVEL_TRUTH!$L:$L,MATCH($A17,SONG_LEVEL_TRUTH!$A:$A,0)))),ABS(INDEX(SONG_LEVEL_TRUTH!$L:$L,MATCH($A17,SONG_LEVEL_TRUTH!$A:$A,0))-INDEX(SONG_LEVEL_TRUTH!$I:$I,MATCH($A17,SONG_LEVEL_TRUTH!$A:$A,0))),""),"")</f>
        <v/>
      </c>
      <c r="I17" s="14">
        <f>IFERROR(IF(AND(ISNUMBER(INDEX(SONG_LEVEL_TRUTH!$I:$I,MATCH($A17,SONG_LEVEL_TRUTH!$A:$A,0))),ISNUMBER(INDEX(SONG_LEVEL_TRUTH!$M:$M,MATCH($A17,SONG_LEVEL_TRUTH!$A:$A,0)))),ABS(INDEX(SONG_LEVEL_TRUTH!$M:$M,MATCH($A17,SONG_LEVEL_TRUTH!$A:$A,0))-INDEX(SONG_LEVEL_TRUTH!$I:$I,MATCH($A17,SONG_LEVEL_TRUTH!$A:$A,0))),""),"")</f>
        <v/>
      </c>
      <c r="J17" s="13">
        <f>IFERROR(IF(AND(ISNUMBER(FIND("/",INDEX(SONG_LEVEL_TRUTH!$N:$N,MATCH($A17,SONG_LEVEL_TRUTH!$A:$A,0)))),ISNUMBER(FIND("/",INDEX(SONG_LEVEL_TRUTH!$O:$O,MATCH($A17,SONG_LEVEL_TRUTH!$A:$A,0)))),NOT(ISNUMBER(FIND("UNKNOWN",INDEX(SONG_LEVEL_TRUTH!$N:$N,MATCH($A17,SONG_LEVEL_TRUTH!$A:$A,0)))))),IF(TRIM(INDEX(SONG_LEVEL_TRUTH!$N:$N,MATCH($A17,SONG_LEVEL_TRUTH!$A:$A,0)))=TRIM(INDEX(SONG_LEVEL_TRUTH!$O:$O,MATCH($A17,SONG_LEVEL_TRUTH!$A:$A,0))),"YES","NO"),""),"")</f>
        <v/>
      </c>
      <c r="K17" s="13">
        <f>IFERROR(IF(AND(ISNUMBER(FIND("/",INDEX(SONG_LEVEL_TRUTH!$N:$N,MATCH($A17,SONG_LEVEL_TRUTH!$A:$A,0)))),ISNUMBER(FIND("/",INDEX(SONG_LEVEL_TRUTH!$P:$P,MATCH($A17,SONG_LEVEL_TRUTH!$A:$A,0)))),NOT(ISNUMBER(FIND("UNKNOWN",INDEX(SONG_LEVEL_TRUTH!$N:$N,MATCH($A17,SONG_LEVEL_TRUTH!$A:$A,0)))))),IF(TRIM(INDEX(SONG_LEVEL_TRUTH!$N:$N,MATCH($A17,SONG_LEVEL_TRUTH!$A:$A,0)))=TRIM(INDEX(SONG_LEVEL_TRUTH!$P:$P,MATCH($A17,SONG_LEVEL_TRUTH!$A:$A,0))),"YES","NO"),""),"")</f>
        <v/>
      </c>
      <c r="L17" s="13">
        <f>IFERROR(IF(AND(ISNUMBER(FIND("/",INDEX(SONG_LEVEL_TRUTH!$N:$N,MATCH($A17,SONG_LEVEL_TRUTH!$A:$A,0)))),ISNUMBER(FIND("/",INDEX(SONG_LEVEL_TRUTH!$Q:$Q,MATCH($A17,SONG_LEVEL_TRUTH!$A:$A,0)))),NOT(ISNUMBER(FIND("UNKNOWN",INDEX(SONG_LEVEL_TRUTH!$N:$N,MATCH($A17,SONG_LEVEL_TRUTH!$A:$A,0)))))),IF(TRIM(INDEX(SONG_LEVEL_TRUTH!$N:$N,MATCH($A17,SONG_LEVEL_TRUTH!$A:$A,0)))=TRIM(INDEX(SONG_LEVEL_TRUTH!$Q:$Q,MATCH($A17,SONG_LEVEL_TRUTH!$A:$A,0))),"YES","NO"),""),"")</f>
        <v/>
      </c>
      <c r="M17" s="13">
        <f>IFERROR(IF(AND(ISNUMBER(FIND("/",INDEX(SONG_LEVEL_TRUTH!$N:$N,MATCH($A17,SONG_LEVEL_TRUTH!$A:$A,0)))),ISNUMBER(FIND("/",INDEX(SONG_LEVEL_TRUTH!$R:$R,MATCH($A17,SONG_LEVEL_TRUTH!$A:$A,0)))),NOT(ISNUMBER(FIND("UNKNOWN",INDEX(SONG_LEVEL_TRUTH!$N:$N,MATCH($A17,SONG_LEVEL_TRUTH!$A:$A,0)))))),IF(TRIM(INDEX(SONG_LEVEL_TRUTH!$N:$N,MATCH($A17,SONG_LEVEL_TRUTH!$A:$A,0)))=TRIM(INDEX(SONG_LEVEL_TRUTH!$R:$R,MATCH($A17,SONG_LEVEL_TRUTH!$A:$A,0))),"YES","NO"),""),"")</f>
        <v/>
      </c>
      <c r="N17" s="13">
        <f>IFERROR(IF(AND(ISNUMBER(INDEX(SONG_LEVEL_TRUTH!$D:$D,MATCH($A17,SONG_LEVEL_TRUTH!$A:$A,0))),ISNUMBER(INDEX(SONG_LEVEL_TRUTH!$E:$E,MATCH($A17,SONG_LEVEL_TRUTH!$A:$A,0)))),IF(INDEX(SONG_LEVEL_TRUTH!$D:$D,MATCH($A17,SONG_LEVEL_TRUTH!$A:$A,0))=INDEX(SONG_LEVEL_TRUTH!$E:$E,MATCH($A17,SONG_LEVEL_TRUTH!$A:$A,0)),"YES","NO"),""),"")</f>
        <v/>
      </c>
      <c r="O17" s="13">
        <f>IFERROR(IF(AND(ISNUMBER(INDEX(SONG_LEVEL_TRUTH!$D:$D,MATCH($A17,SONG_LEVEL_TRUTH!$A:$A,0))),ISNUMBER(INDEX(SONG_LEVEL_TRUTH!$F:$F,MATCH($A17,SONG_LEVEL_TRUTH!$A:$A,0)))),IF(INDEX(SONG_LEVEL_TRUTH!$D:$D,MATCH($A17,SONG_LEVEL_TRUTH!$A:$A,0))=INDEX(SONG_LEVEL_TRUTH!$F:$F,MATCH($A17,SONG_LEVEL_TRUTH!$A:$A,0)),"YES","NO"),""),"")</f>
        <v/>
      </c>
      <c r="P17" s="13">
        <f>IFERROR(IF(AND(ISNUMBER(INDEX(SONG_LEVEL_TRUTH!$D:$D,MATCH($A17,SONG_LEVEL_TRUTH!$A:$A,0))),ISNUMBER(INDEX(SONG_LEVEL_TRUTH!$G:$G,MATCH($A17,SONG_LEVEL_TRUTH!$A:$A,0)))),IF(INDEX(SONG_LEVEL_TRUTH!$D:$D,MATCH($A17,SONG_LEVEL_TRUTH!$A:$A,0))=INDEX(SONG_LEVEL_TRUTH!$G:$G,MATCH($A17,SONG_LEVEL_TRUTH!$A:$A,0)),"YES","NO"),""),"")</f>
        <v/>
      </c>
      <c r="Q17" s="13">
        <f>IFERROR(IF(AND(ISNUMBER(INDEX(SONG_LEVEL_TRUTH!$D:$D,MATCH($A17,SONG_LEVEL_TRUTH!$A:$A,0))),ISNUMBER(INDEX(SONG_LEVEL_TRUTH!$H:$H,MATCH($A17,SONG_LEVEL_TRUTH!$A:$A,0)))),IF(INDEX(SONG_LEVEL_TRUTH!$D:$D,MATCH($A17,SONG_LEVEL_TRUTH!$A:$A,0))=INDEX(SONG_LEVEL_TRUTH!$H:$H,MATCH($A17,SONG_LEVEL_TRUTH!$A:$A,0)),"YES","NO"),""),"")</f>
        <v/>
      </c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>
      <c r="A18" s="13" t="inlineStr">
        <is>
          <t>TEST_017</t>
        </is>
      </c>
      <c r="B18" s="13" t="n"/>
      <c r="C18" s="13" t="n"/>
      <c r="D18" s="13" t="n"/>
      <c r="E18" s="13" t="n"/>
      <c r="F18" s="14">
        <f>IFERROR(IF(AND(ISNUMBER(INDEX(SONG_LEVEL_TRUTH!$I:$I,MATCH($A18,SONG_LEVEL_TRUTH!$A:$A,0))),ISNUMBER(INDEX(SONG_LEVEL_TRUTH!$J:$J,MATCH($A18,SONG_LEVEL_TRUTH!$A:$A,0)))),ABS(INDEX(SONG_LEVEL_TRUTH!$J:$J,MATCH($A18,SONG_LEVEL_TRUTH!$A:$A,0))-INDEX(SONG_LEVEL_TRUTH!$I:$I,MATCH($A18,SONG_LEVEL_TRUTH!$A:$A,0))),""),"")</f>
        <v/>
      </c>
      <c r="G18" s="14">
        <f>IFERROR(IF(AND(ISNUMBER(INDEX(SONG_LEVEL_TRUTH!$I:$I,MATCH($A18,SONG_LEVEL_TRUTH!$A:$A,0))),ISNUMBER(INDEX(SONG_LEVEL_TRUTH!$K:$K,MATCH($A18,SONG_LEVEL_TRUTH!$A:$A,0)))),ABS(INDEX(SONG_LEVEL_TRUTH!$K:$K,MATCH($A18,SONG_LEVEL_TRUTH!$A:$A,0))-INDEX(SONG_LEVEL_TRUTH!$I:$I,MATCH($A18,SONG_LEVEL_TRUTH!$A:$A,0))),""),"")</f>
        <v/>
      </c>
      <c r="H18" s="14">
        <f>IFERROR(IF(AND(ISNUMBER(INDEX(SONG_LEVEL_TRUTH!$I:$I,MATCH($A18,SONG_LEVEL_TRUTH!$A:$A,0))),ISNUMBER(INDEX(SONG_LEVEL_TRUTH!$L:$L,MATCH($A18,SONG_LEVEL_TRUTH!$A:$A,0)))),ABS(INDEX(SONG_LEVEL_TRUTH!$L:$L,MATCH($A18,SONG_LEVEL_TRUTH!$A:$A,0))-INDEX(SONG_LEVEL_TRUTH!$I:$I,MATCH($A18,SONG_LEVEL_TRUTH!$A:$A,0))),""),"")</f>
        <v/>
      </c>
      <c r="I18" s="14">
        <f>IFERROR(IF(AND(ISNUMBER(INDEX(SONG_LEVEL_TRUTH!$I:$I,MATCH($A18,SONG_LEVEL_TRUTH!$A:$A,0))),ISNUMBER(INDEX(SONG_LEVEL_TRUTH!$M:$M,MATCH($A18,SONG_LEVEL_TRUTH!$A:$A,0)))),ABS(INDEX(SONG_LEVEL_TRUTH!$M:$M,MATCH($A18,SONG_LEVEL_TRUTH!$A:$A,0))-INDEX(SONG_LEVEL_TRUTH!$I:$I,MATCH($A18,SONG_LEVEL_TRUTH!$A:$A,0))),""),"")</f>
        <v/>
      </c>
      <c r="J18" s="13">
        <f>IFERROR(IF(AND(ISNUMBER(FIND("/",INDEX(SONG_LEVEL_TRUTH!$N:$N,MATCH($A18,SONG_LEVEL_TRUTH!$A:$A,0)))),ISNUMBER(FIND("/",INDEX(SONG_LEVEL_TRUTH!$O:$O,MATCH($A18,SONG_LEVEL_TRUTH!$A:$A,0)))),NOT(ISNUMBER(FIND("UNKNOWN",INDEX(SONG_LEVEL_TRUTH!$N:$N,MATCH($A18,SONG_LEVEL_TRUTH!$A:$A,0)))))),IF(TRIM(INDEX(SONG_LEVEL_TRUTH!$N:$N,MATCH($A18,SONG_LEVEL_TRUTH!$A:$A,0)))=TRIM(INDEX(SONG_LEVEL_TRUTH!$O:$O,MATCH($A18,SONG_LEVEL_TRUTH!$A:$A,0))),"YES","NO"),""),"")</f>
        <v/>
      </c>
      <c r="K18" s="13">
        <f>IFERROR(IF(AND(ISNUMBER(FIND("/",INDEX(SONG_LEVEL_TRUTH!$N:$N,MATCH($A18,SONG_LEVEL_TRUTH!$A:$A,0)))),ISNUMBER(FIND("/",INDEX(SONG_LEVEL_TRUTH!$P:$P,MATCH($A18,SONG_LEVEL_TRUTH!$A:$A,0)))),NOT(ISNUMBER(FIND("UNKNOWN",INDEX(SONG_LEVEL_TRUTH!$N:$N,MATCH($A18,SONG_LEVEL_TRUTH!$A:$A,0)))))),IF(TRIM(INDEX(SONG_LEVEL_TRUTH!$N:$N,MATCH($A18,SONG_LEVEL_TRUTH!$A:$A,0)))=TRIM(INDEX(SONG_LEVEL_TRUTH!$P:$P,MATCH($A18,SONG_LEVEL_TRUTH!$A:$A,0))),"YES","NO"),""),"")</f>
        <v/>
      </c>
      <c r="L18" s="13">
        <f>IFERROR(IF(AND(ISNUMBER(FIND("/",INDEX(SONG_LEVEL_TRUTH!$N:$N,MATCH($A18,SONG_LEVEL_TRUTH!$A:$A,0)))),ISNUMBER(FIND("/",INDEX(SONG_LEVEL_TRUTH!$Q:$Q,MATCH($A18,SONG_LEVEL_TRUTH!$A:$A,0)))),NOT(ISNUMBER(FIND("UNKNOWN",INDEX(SONG_LEVEL_TRUTH!$N:$N,MATCH($A18,SONG_LEVEL_TRUTH!$A:$A,0)))))),IF(TRIM(INDEX(SONG_LEVEL_TRUTH!$N:$N,MATCH($A18,SONG_LEVEL_TRUTH!$A:$A,0)))=TRIM(INDEX(SONG_LEVEL_TRUTH!$Q:$Q,MATCH($A18,SONG_LEVEL_TRUTH!$A:$A,0))),"YES","NO"),""),"")</f>
        <v/>
      </c>
      <c r="M18" s="13">
        <f>IFERROR(IF(AND(ISNUMBER(FIND("/",INDEX(SONG_LEVEL_TRUTH!$N:$N,MATCH($A18,SONG_LEVEL_TRUTH!$A:$A,0)))),ISNUMBER(FIND("/",INDEX(SONG_LEVEL_TRUTH!$R:$R,MATCH($A18,SONG_LEVEL_TRUTH!$A:$A,0)))),NOT(ISNUMBER(FIND("UNKNOWN",INDEX(SONG_LEVEL_TRUTH!$N:$N,MATCH($A18,SONG_LEVEL_TRUTH!$A:$A,0)))))),IF(TRIM(INDEX(SONG_LEVEL_TRUTH!$N:$N,MATCH($A18,SONG_LEVEL_TRUTH!$A:$A,0)))=TRIM(INDEX(SONG_LEVEL_TRUTH!$R:$R,MATCH($A18,SONG_LEVEL_TRUTH!$A:$A,0))),"YES","NO"),""),"")</f>
        <v/>
      </c>
      <c r="N18" s="13">
        <f>IFERROR(IF(AND(ISNUMBER(INDEX(SONG_LEVEL_TRUTH!$D:$D,MATCH($A18,SONG_LEVEL_TRUTH!$A:$A,0))),ISNUMBER(INDEX(SONG_LEVEL_TRUTH!$E:$E,MATCH($A18,SONG_LEVEL_TRUTH!$A:$A,0)))),IF(INDEX(SONG_LEVEL_TRUTH!$D:$D,MATCH($A18,SONG_LEVEL_TRUTH!$A:$A,0))=INDEX(SONG_LEVEL_TRUTH!$E:$E,MATCH($A18,SONG_LEVEL_TRUTH!$A:$A,0)),"YES","NO"),""),"")</f>
        <v/>
      </c>
      <c r="O18" s="13">
        <f>IFERROR(IF(AND(ISNUMBER(INDEX(SONG_LEVEL_TRUTH!$D:$D,MATCH($A18,SONG_LEVEL_TRUTH!$A:$A,0))),ISNUMBER(INDEX(SONG_LEVEL_TRUTH!$F:$F,MATCH($A18,SONG_LEVEL_TRUTH!$A:$A,0)))),IF(INDEX(SONG_LEVEL_TRUTH!$D:$D,MATCH($A18,SONG_LEVEL_TRUTH!$A:$A,0))=INDEX(SONG_LEVEL_TRUTH!$F:$F,MATCH($A18,SONG_LEVEL_TRUTH!$A:$A,0)),"YES","NO"),""),"")</f>
        <v/>
      </c>
      <c r="P18" s="13">
        <f>IFERROR(IF(AND(ISNUMBER(INDEX(SONG_LEVEL_TRUTH!$D:$D,MATCH($A18,SONG_LEVEL_TRUTH!$A:$A,0))),ISNUMBER(INDEX(SONG_LEVEL_TRUTH!$G:$G,MATCH($A18,SONG_LEVEL_TRUTH!$A:$A,0)))),IF(INDEX(SONG_LEVEL_TRUTH!$D:$D,MATCH($A18,SONG_LEVEL_TRUTH!$A:$A,0))=INDEX(SONG_LEVEL_TRUTH!$G:$G,MATCH($A18,SONG_LEVEL_TRUTH!$A:$A,0)),"YES","NO"),""),"")</f>
        <v/>
      </c>
      <c r="Q18" s="13">
        <f>IFERROR(IF(AND(ISNUMBER(INDEX(SONG_LEVEL_TRUTH!$D:$D,MATCH($A18,SONG_LEVEL_TRUTH!$A:$A,0))),ISNUMBER(INDEX(SONG_LEVEL_TRUTH!$H:$H,MATCH($A18,SONG_LEVEL_TRUTH!$A:$A,0)))),IF(INDEX(SONG_LEVEL_TRUTH!$D:$D,MATCH($A18,SONG_LEVEL_TRUTH!$A:$A,0))=INDEX(SONG_LEVEL_TRUTH!$H:$H,MATCH($A18,SONG_LEVEL_TRUTH!$A:$A,0)),"YES","NO"),""),"")</f>
        <v/>
      </c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>
      <c r="A19" s="13" t="inlineStr">
        <is>
          <t>TEST_018</t>
        </is>
      </c>
      <c r="B19" s="13" t="n"/>
      <c r="C19" s="13" t="n"/>
      <c r="D19" s="13" t="n"/>
      <c r="E19" s="13" t="n"/>
      <c r="F19" s="14">
        <f>IFERROR(IF(AND(ISNUMBER(INDEX(SONG_LEVEL_TRUTH!$I:$I,MATCH($A19,SONG_LEVEL_TRUTH!$A:$A,0))),ISNUMBER(INDEX(SONG_LEVEL_TRUTH!$J:$J,MATCH($A19,SONG_LEVEL_TRUTH!$A:$A,0)))),ABS(INDEX(SONG_LEVEL_TRUTH!$J:$J,MATCH($A19,SONG_LEVEL_TRUTH!$A:$A,0))-INDEX(SONG_LEVEL_TRUTH!$I:$I,MATCH($A19,SONG_LEVEL_TRUTH!$A:$A,0))),""),"")</f>
        <v/>
      </c>
      <c r="G19" s="14">
        <f>IFERROR(IF(AND(ISNUMBER(INDEX(SONG_LEVEL_TRUTH!$I:$I,MATCH($A19,SONG_LEVEL_TRUTH!$A:$A,0))),ISNUMBER(INDEX(SONG_LEVEL_TRUTH!$K:$K,MATCH($A19,SONG_LEVEL_TRUTH!$A:$A,0)))),ABS(INDEX(SONG_LEVEL_TRUTH!$K:$K,MATCH($A19,SONG_LEVEL_TRUTH!$A:$A,0))-INDEX(SONG_LEVEL_TRUTH!$I:$I,MATCH($A19,SONG_LEVEL_TRUTH!$A:$A,0))),""),"")</f>
        <v/>
      </c>
      <c r="H19" s="14">
        <f>IFERROR(IF(AND(ISNUMBER(INDEX(SONG_LEVEL_TRUTH!$I:$I,MATCH($A19,SONG_LEVEL_TRUTH!$A:$A,0))),ISNUMBER(INDEX(SONG_LEVEL_TRUTH!$L:$L,MATCH($A19,SONG_LEVEL_TRUTH!$A:$A,0)))),ABS(INDEX(SONG_LEVEL_TRUTH!$L:$L,MATCH($A19,SONG_LEVEL_TRUTH!$A:$A,0))-INDEX(SONG_LEVEL_TRUTH!$I:$I,MATCH($A19,SONG_LEVEL_TRUTH!$A:$A,0))),""),"")</f>
        <v/>
      </c>
      <c r="I19" s="14">
        <f>IFERROR(IF(AND(ISNUMBER(INDEX(SONG_LEVEL_TRUTH!$I:$I,MATCH($A19,SONG_LEVEL_TRUTH!$A:$A,0))),ISNUMBER(INDEX(SONG_LEVEL_TRUTH!$M:$M,MATCH($A19,SONG_LEVEL_TRUTH!$A:$A,0)))),ABS(INDEX(SONG_LEVEL_TRUTH!$M:$M,MATCH($A19,SONG_LEVEL_TRUTH!$A:$A,0))-INDEX(SONG_LEVEL_TRUTH!$I:$I,MATCH($A19,SONG_LEVEL_TRUTH!$A:$A,0))),""),"")</f>
        <v/>
      </c>
      <c r="J19" s="13">
        <f>IFERROR(IF(AND(ISNUMBER(FIND("/",INDEX(SONG_LEVEL_TRUTH!$N:$N,MATCH($A19,SONG_LEVEL_TRUTH!$A:$A,0)))),ISNUMBER(FIND("/",INDEX(SONG_LEVEL_TRUTH!$O:$O,MATCH($A19,SONG_LEVEL_TRUTH!$A:$A,0)))),NOT(ISNUMBER(FIND("UNKNOWN",INDEX(SONG_LEVEL_TRUTH!$N:$N,MATCH($A19,SONG_LEVEL_TRUTH!$A:$A,0)))))),IF(TRIM(INDEX(SONG_LEVEL_TRUTH!$N:$N,MATCH($A19,SONG_LEVEL_TRUTH!$A:$A,0)))=TRIM(INDEX(SONG_LEVEL_TRUTH!$O:$O,MATCH($A19,SONG_LEVEL_TRUTH!$A:$A,0))),"YES","NO"),""),"")</f>
        <v/>
      </c>
      <c r="K19" s="13">
        <f>IFERROR(IF(AND(ISNUMBER(FIND("/",INDEX(SONG_LEVEL_TRUTH!$N:$N,MATCH($A19,SONG_LEVEL_TRUTH!$A:$A,0)))),ISNUMBER(FIND("/",INDEX(SONG_LEVEL_TRUTH!$P:$P,MATCH($A19,SONG_LEVEL_TRUTH!$A:$A,0)))),NOT(ISNUMBER(FIND("UNKNOWN",INDEX(SONG_LEVEL_TRUTH!$N:$N,MATCH($A19,SONG_LEVEL_TRUTH!$A:$A,0)))))),IF(TRIM(INDEX(SONG_LEVEL_TRUTH!$N:$N,MATCH($A19,SONG_LEVEL_TRUTH!$A:$A,0)))=TRIM(INDEX(SONG_LEVEL_TRUTH!$P:$P,MATCH($A19,SONG_LEVEL_TRUTH!$A:$A,0))),"YES","NO"),""),"")</f>
        <v/>
      </c>
      <c r="L19" s="13">
        <f>IFERROR(IF(AND(ISNUMBER(FIND("/",INDEX(SONG_LEVEL_TRUTH!$N:$N,MATCH($A19,SONG_LEVEL_TRUTH!$A:$A,0)))),ISNUMBER(FIND("/",INDEX(SONG_LEVEL_TRUTH!$Q:$Q,MATCH($A19,SONG_LEVEL_TRUTH!$A:$A,0)))),NOT(ISNUMBER(FIND("UNKNOWN",INDEX(SONG_LEVEL_TRUTH!$N:$N,MATCH($A19,SONG_LEVEL_TRUTH!$A:$A,0)))))),IF(TRIM(INDEX(SONG_LEVEL_TRUTH!$N:$N,MATCH($A19,SONG_LEVEL_TRUTH!$A:$A,0)))=TRIM(INDEX(SONG_LEVEL_TRUTH!$Q:$Q,MATCH($A19,SONG_LEVEL_TRUTH!$A:$A,0))),"YES","NO"),""),"")</f>
        <v/>
      </c>
      <c r="M19" s="13">
        <f>IFERROR(IF(AND(ISNUMBER(FIND("/",INDEX(SONG_LEVEL_TRUTH!$N:$N,MATCH($A19,SONG_LEVEL_TRUTH!$A:$A,0)))),ISNUMBER(FIND("/",INDEX(SONG_LEVEL_TRUTH!$R:$R,MATCH($A19,SONG_LEVEL_TRUTH!$A:$A,0)))),NOT(ISNUMBER(FIND("UNKNOWN",INDEX(SONG_LEVEL_TRUTH!$N:$N,MATCH($A19,SONG_LEVEL_TRUTH!$A:$A,0)))))),IF(TRIM(INDEX(SONG_LEVEL_TRUTH!$N:$N,MATCH($A19,SONG_LEVEL_TRUTH!$A:$A,0)))=TRIM(INDEX(SONG_LEVEL_TRUTH!$R:$R,MATCH($A19,SONG_LEVEL_TRUTH!$A:$A,0))),"YES","NO"),""),"")</f>
        <v/>
      </c>
      <c r="N19" s="13">
        <f>IFERROR(IF(AND(ISNUMBER(INDEX(SONG_LEVEL_TRUTH!$D:$D,MATCH($A19,SONG_LEVEL_TRUTH!$A:$A,0))),ISNUMBER(INDEX(SONG_LEVEL_TRUTH!$E:$E,MATCH($A19,SONG_LEVEL_TRUTH!$A:$A,0)))),IF(INDEX(SONG_LEVEL_TRUTH!$D:$D,MATCH($A19,SONG_LEVEL_TRUTH!$A:$A,0))=INDEX(SONG_LEVEL_TRUTH!$E:$E,MATCH($A19,SONG_LEVEL_TRUTH!$A:$A,0)),"YES","NO"),""),"")</f>
        <v/>
      </c>
      <c r="O19" s="13">
        <f>IFERROR(IF(AND(ISNUMBER(INDEX(SONG_LEVEL_TRUTH!$D:$D,MATCH($A19,SONG_LEVEL_TRUTH!$A:$A,0))),ISNUMBER(INDEX(SONG_LEVEL_TRUTH!$F:$F,MATCH($A19,SONG_LEVEL_TRUTH!$A:$A,0)))),IF(INDEX(SONG_LEVEL_TRUTH!$D:$D,MATCH($A19,SONG_LEVEL_TRUTH!$A:$A,0))=INDEX(SONG_LEVEL_TRUTH!$F:$F,MATCH($A19,SONG_LEVEL_TRUTH!$A:$A,0)),"YES","NO"),""),"")</f>
        <v/>
      </c>
      <c r="P19" s="13">
        <f>IFERROR(IF(AND(ISNUMBER(INDEX(SONG_LEVEL_TRUTH!$D:$D,MATCH($A19,SONG_LEVEL_TRUTH!$A:$A,0))),ISNUMBER(INDEX(SONG_LEVEL_TRUTH!$G:$G,MATCH($A19,SONG_LEVEL_TRUTH!$A:$A,0)))),IF(INDEX(SONG_LEVEL_TRUTH!$D:$D,MATCH($A19,SONG_LEVEL_TRUTH!$A:$A,0))=INDEX(SONG_LEVEL_TRUTH!$G:$G,MATCH($A19,SONG_LEVEL_TRUTH!$A:$A,0)),"YES","NO"),""),"")</f>
        <v/>
      </c>
      <c r="Q19" s="13">
        <f>IFERROR(IF(AND(ISNUMBER(INDEX(SONG_LEVEL_TRUTH!$D:$D,MATCH($A19,SONG_LEVEL_TRUTH!$A:$A,0))),ISNUMBER(INDEX(SONG_LEVEL_TRUTH!$H:$H,MATCH($A19,SONG_LEVEL_TRUTH!$A:$A,0)))),IF(INDEX(SONG_LEVEL_TRUTH!$D:$D,MATCH($A19,SONG_LEVEL_TRUTH!$A:$A,0))=INDEX(SONG_LEVEL_TRUTH!$H:$H,MATCH($A19,SONG_LEVEL_TRUTH!$A:$A,0)),"YES","NO"),""),"")</f>
        <v/>
      </c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>
      <c r="A20" s="13" t="inlineStr">
        <is>
          <t>TEST_019</t>
        </is>
      </c>
      <c r="B20" s="13" t="n"/>
      <c r="C20" s="13" t="n"/>
      <c r="D20" s="13" t="n"/>
      <c r="E20" s="13" t="n"/>
      <c r="F20" s="14">
        <f>IFERROR(IF(AND(ISNUMBER(INDEX(SONG_LEVEL_TRUTH!$I:$I,MATCH($A20,SONG_LEVEL_TRUTH!$A:$A,0))),ISNUMBER(INDEX(SONG_LEVEL_TRUTH!$J:$J,MATCH($A20,SONG_LEVEL_TRUTH!$A:$A,0)))),ABS(INDEX(SONG_LEVEL_TRUTH!$J:$J,MATCH($A20,SONG_LEVEL_TRUTH!$A:$A,0))-INDEX(SONG_LEVEL_TRUTH!$I:$I,MATCH($A20,SONG_LEVEL_TRUTH!$A:$A,0))),""),"")</f>
        <v/>
      </c>
      <c r="G20" s="14">
        <f>IFERROR(IF(AND(ISNUMBER(INDEX(SONG_LEVEL_TRUTH!$I:$I,MATCH($A20,SONG_LEVEL_TRUTH!$A:$A,0))),ISNUMBER(INDEX(SONG_LEVEL_TRUTH!$K:$K,MATCH($A20,SONG_LEVEL_TRUTH!$A:$A,0)))),ABS(INDEX(SONG_LEVEL_TRUTH!$K:$K,MATCH($A20,SONG_LEVEL_TRUTH!$A:$A,0))-INDEX(SONG_LEVEL_TRUTH!$I:$I,MATCH($A20,SONG_LEVEL_TRUTH!$A:$A,0))),""),"")</f>
        <v/>
      </c>
      <c r="H20" s="14">
        <f>IFERROR(IF(AND(ISNUMBER(INDEX(SONG_LEVEL_TRUTH!$I:$I,MATCH($A20,SONG_LEVEL_TRUTH!$A:$A,0))),ISNUMBER(INDEX(SONG_LEVEL_TRUTH!$L:$L,MATCH($A20,SONG_LEVEL_TRUTH!$A:$A,0)))),ABS(INDEX(SONG_LEVEL_TRUTH!$L:$L,MATCH($A20,SONG_LEVEL_TRUTH!$A:$A,0))-INDEX(SONG_LEVEL_TRUTH!$I:$I,MATCH($A20,SONG_LEVEL_TRUTH!$A:$A,0))),""),"")</f>
        <v/>
      </c>
      <c r="I20" s="14">
        <f>IFERROR(IF(AND(ISNUMBER(INDEX(SONG_LEVEL_TRUTH!$I:$I,MATCH($A20,SONG_LEVEL_TRUTH!$A:$A,0))),ISNUMBER(INDEX(SONG_LEVEL_TRUTH!$M:$M,MATCH($A20,SONG_LEVEL_TRUTH!$A:$A,0)))),ABS(INDEX(SONG_LEVEL_TRUTH!$M:$M,MATCH($A20,SONG_LEVEL_TRUTH!$A:$A,0))-INDEX(SONG_LEVEL_TRUTH!$I:$I,MATCH($A20,SONG_LEVEL_TRUTH!$A:$A,0))),""),"")</f>
        <v/>
      </c>
      <c r="J20" s="13">
        <f>IFERROR(IF(AND(ISNUMBER(FIND("/",INDEX(SONG_LEVEL_TRUTH!$N:$N,MATCH($A20,SONG_LEVEL_TRUTH!$A:$A,0)))),ISNUMBER(FIND("/",INDEX(SONG_LEVEL_TRUTH!$O:$O,MATCH($A20,SONG_LEVEL_TRUTH!$A:$A,0)))),NOT(ISNUMBER(FIND("UNKNOWN",INDEX(SONG_LEVEL_TRUTH!$N:$N,MATCH($A20,SONG_LEVEL_TRUTH!$A:$A,0)))))),IF(TRIM(INDEX(SONG_LEVEL_TRUTH!$N:$N,MATCH($A20,SONG_LEVEL_TRUTH!$A:$A,0)))=TRIM(INDEX(SONG_LEVEL_TRUTH!$O:$O,MATCH($A20,SONG_LEVEL_TRUTH!$A:$A,0))),"YES","NO"),""),"")</f>
        <v/>
      </c>
      <c r="K20" s="13">
        <f>IFERROR(IF(AND(ISNUMBER(FIND("/",INDEX(SONG_LEVEL_TRUTH!$N:$N,MATCH($A20,SONG_LEVEL_TRUTH!$A:$A,0)))),ISNUMBER(FIND("/",INDEX(SONG_LEVEL_TRUTH!$P:$P,MATCH($A20,SONG_LEVEL_TRUTH!$A:$A,0)))),NOT(ISNUMBER(FIND("UNKNOWN",INDEX(SONG_LEVEL_TRUTH!$N:$N,MATCH($A20,SONG_LEVEL_TRUTH!$A:$A,0)))))),IF(TRIM(INDEX(SONG_LEVEL_TRUTH!$N:$N,MATCH($A20,SONG_LEVEL_TRUTH!$A:$A,0)))=TRIM(INDEX(SONG_LEVEL_TRUTH!$P:$P,MATCH($A20,SONG_LEVEL_TRUTH!$A:$A,0))),"YES","NO"),""),"")</f>
        <v/>
      </c>
      <c r="L20" s="13">
        <f>IFERROR(IF(AND(ISNUMBER(FIND("/",INDEX(SONG_LEVEL_TRUTH!$N:$N,MATCH($A20,SONG_LEVEL_TRUTH!$A:$A,0)))),ISNUMBER(FIND("/",INDEX(SONG_LEVEL_TRUTH!$Q:$Q,MATCH($A20,SONG_LEVEL_TRUTH!$A:$A,0)))),NOT(ISNUMBER(FIND("UNKNOWN",INDEX(SONG_LEVEL_TRUTH!$N:$N,MATCH($A20,SONG_LEVEL_TRUTH!$A:$A,0)))))),IF(TRIM(INDEX(SONG_LEVEL_TRUTH!$N:$N,MATCH($A20,SONG_LEVEL_TRUTH!$A:$A,0)))=TRIM(INDEX(SONG_LEVEL_TRUTH!$Q:$Q,MATCH($A20,SONG_LEVEL_TRUTH!$A:$A,0))),"YES","NO"),""),"")</f>
        <v/>
      </c>
      <c r="M20" s="13">
        <f>IFERROR(IF(AND(ISNUMBER(FIND("/",INDEX(SONG_LEVEL_TRUTH!$N:$N,MATCH($A20,SONG_LEVEL_TRUTH!$A:$A,0)))),ISNUMBER(FIND("/",INDEX(SONG_LEVEL_TRUTH!$R:$R,MATCH($A20,SONG_LEVEL_TRUTH!$A:$A,0)))),NOT(ISNUMBER(FIND("UNKNOWN",INDEX(SONG_LEVEL_TRUTH!$N:$N,MATCH($A20,SONG_LEVEL_TRUTH!$A:$A,0)))))),IF(TRIM(INDEX(SONG_LEVEL_TRUTH!$N:$N,MATCH($A20,SONG_LEVEL_TRUTH!$A:$A,0)))=TRIM(INDEX(SONG_LEVEL_TRUTH!$R:$R,MATCH($A20,SONG_LEVEL_TRUTH!$A:$A,0))),"YES","NO"),""),"")</f>
        <v/>
      </c>
      <c r="N20" s="13">
        <f>IFERROR(IF(AND(ISNUMBER(INDEX(SONG_LEVEL_TRUTH!$D:$D,MATCH($A20,SONG_LEVEL_TRUTH!$A:$A,0))),ISNUMBER(INDEX(SONG_LEVEL_TRUTH!$E:$E,MATCH($A20,SONG_LEVEL_TRUTH!$A:$A,0)))),IF(INDEX(SONG_LEVEL_TRUTH!$D:$D,MATCH($A20,SONG_LEVEL_TRUTH!$A:$A,0))=INDEX(SONG_LEVEL_TRUTH!$E:$E,MATCH($A20,SONG_LEVEL_TRUTH!$A:$A,0)),"YES","NO"),""),"")</f>
        <v/>
      </c>
      <c r="O20" s="13">
        <f>IFERROR(IF(AND(ISNUMBER(INDEX(SONG_LEVEL_TRUTH!$D:$D,MATCH($A20,SONG_LEVEL_TRUTH!$A:$A,0))),ISNUMBER(INDEX(SONG_LEVEL_TRUTH!$F:$F,MATCH($A20,SONG_LEVEL_TRUTH!$A:$A,0)))),IF(INDEX(SONG_LEVEL_TRUTH!$D:$D,MATCH($A20,SONG_LEVEL_TRUTH!$A:$A,0))=INDEX(SONG_LEVEL_TRUTH!$F:$F,MATCH($A20,SONG_LEVEL_TRUTH!$A:$A,0)),"YES","NO"),""),"")</f>
        <v/>
      </c>
      <c r="P20" s="13">
        <f>IFERROR(IF(AND(ISNUMBER(INDEX(SONG_LEVEL_TRUTH!$D:$D,MATCH($A20,SONG_LEVEL_TRUTH!$A:$A,0))),ISNUMBER(INDEX(SONG_LEVEL_TRUTH!$G:$G,MATCH($A20,SONG_LEVEL_TRUTH!$A:$A,0)))),IF(INDEX(SONG_LEVEL_TRUTH!$D:$D,MATCH($A20,SONG_LEVEL_TRUTH!$A:$A,0))=INDEX(SONG_LEVEL_TRUTH!$G:$G,MATCH($A20,SONG_LEVEL_TRUTH!$A:$A,0)),"YES","NO"),""),"")</f>
        <v/>
      </c>
      <c r="Q20" s="13">
        <f>IFERROR(IF(AND(ISNUMBER(INDEX(SONG_LEVEL_TRUTH!$D:$D,MATCH($A20,SONG_LEVEL_TRUTH!$A:$A,0))),ISNUMBER(INDEX(SONG_LEVEL_TRUTH!$H:$H,MATCH($A20,SONG_LEVEL_TRUTH!$A:$A,0)))),IF(INDEX(SONG_LEVEL_TRUTH!$D:$D,MATCH($A20,SONG_LEVEL_TRUTH!$A:$A,0))=INDEX(SONG_LEVEL_TRUTH!$H:$H,MATCH($A20,SONG_LEVEL_TRUTH!$A:$A,0)),"YES","NO"),""),"")</f>
        <v/>
      </c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>
      <c r="A21" s="13" t="inlineStr">
        <is>
          <t>TEST_020</t>
        </is>
      </c>
      <c r="B21" s="13" t="n"/>
      <c r="C21" s="13" t="n"/>
      <c r="D21" s="13" t="n"/>
      <c r="E21" s="13" t="n"/>
      <c r="F21" s="14">
        <f>IFERROR(IF(AND(ISNUMBER(INDEX(SONG_LEVEL_TRUTH!$I:$I,MATCH($A21,SONG_LEVEL_TRUTH!$A:$A,0))),ISNUMBER(INDEX(SONG_LEVEL_TRUTH!$J:$J,MATCH($A21,SONG_LEVEL_TRUTH!$A:$A,0)))),ABS(INDEX(SONG_LEVEL_TRUTH!$J:$J,MATCH($A21,SONG_LEVEL_TRUTH!$A:$A,0))-INDEX(SONG_LEVEL_TRUTH!$I:$I,MATCH($A21,SONG_LEVEL_TRUTH!$A:$A,0))),""),"")</f>
        <v/>
      </c>
      <c r="G21" s="14">
        <f>IFERROR(IF(AND(ISNUMBER(INDEX(SONG_LEVEL_TRUTH!$I:$I,MATCH($A21,SONG_LEVEL_TRUTH!$A:$A,0))),ISNUMBER(INDEX(SONG_LEVEL_TRUTH!$K:$K,MATCH($A21,SONG_LEVEL_TRUTH!$A:$A,0)))),ABS(INDEX(SONG_LEVEL_TRUTH!$K:$K,MATCH($A21,SONG_LEVEL_TRUTH!$A:$A,0))-INDEX(SONG_LEVEL_TRUTH!$I:$I,MATCH($A21,SONG_LEVEL_TRUTH!$A:$A,0))),""),"")</f>
        <v/>
      </c>
      <c r="H21" s="14">
        <f>IFERROR(IF(AND(ISNUMBER(INDEX(SONG_LEVEL_TRUTH!$I:$I,MATCH($A21,SONG_LEVEL_TRUTH!$A:$A,0))),ISNUMBER(INDEX(SONG_LEVEL_TRUTH!$L:$L,MATCH($A21,SONG_LEVEL_TRUTH!$A:$A,0)))),ABS(INDEX(SONG_LEVEL_TRUTH!$L:$L,MATCH($A21,SONG_LEVEL_TRUTH!$A:$A,0))-INDEX(SONG_LEVEL_TRUTH!$I:$I,MATCH($A21,SONG_LEVEL_TRUTH!$A:$A,0))),""),"")</f>
        <v/>
      </c>
      <c r="I21" s="14">
        <f>IFERROR(IF(AND(ISNUMBER(INDEX(SONG_LEVEL_TRUTH!$I:$I,MATCH($A21,SONG_LEVEL_TRUTH!$A:$A,0))),ISNUMBER(INDEX(SONG_LEVEL_TRUTH!$M:$M,MATCH($A21,SONG_LEVEL_TRUTH!$A:$A,0)))),ABS(INDEX(SONG_LEVEL_TRUTH!$M:$M,MATCH($A21,SONG_LEVEL_TRUTH!$A:$A,0))-INDEX(SONG_LEVEL_TRUTH!$I:$I,MATCH($A21,SONG_LEVEL_TRUTH!$A:$A,0))),""),"")</f>
        <v/>
      </c>
      <c r="J21" s="13">
        <f>IFERROR(IF(AND(ISNUMBER(FIND("/",INDEX(SONG_LEVEL_TRUTH!$N:$N,MATCH($A21,SONG_LEVEL_TRUTH!$A:$A,0)))),ISNUMBER(FIND("/",INDEX(SONG_LEVEL_TRUTH!$O:$O,MATCH($A21,SONG_LEVEL_TRUTH!$A:$A,0)))),NOT(ISNUMBER(FIND("UNKNOWN",INDEX(SONG_LEVEL_TRUTH!$N:$N,MATCH($A21,SONG_LEVEL_TRUTH!$A:$A,0)))))),IF(TRIM(INDEX(SONG_LEVEL_TRUTH!$N:$N,MATCH($A21,SONG_LEVEL_TRUTH!$A:$A,0)))=TRIM(INDEX(SONG_LEVEL_TRUTH!$O:$O,MATCH($A21,SONG_LEVEL_TRUTH!$A:$A,0))),"YES","NO"),""),"")</f>
        <v/>
      </c>
      <c r="K21" s="13">
        <f>IFERROR(IF(AND(ISNUMBER(FIND("/",INDEX(SONG_LEVEL_TRUTH!$N:$N,MATCH($A21,SONG_LEVEL_TRUTH!$A:$A,0)))),ISNUMBER(FIND("/",INDEX(SONG_LEVEL_TRUTH!$P:$P,MATCH($A21,SONG_LEVEL_TRUTH!$A:$A,0)))),NOT(ISNUMBER(FIND("UNKNOWN",INDEX(SONG_LEVEL_TRUTH!$N:$N,MATCH($A21,SONG_LEVEL_TRUTH!$A:$A,0)))))),IF(TRIM(INDEX(SONG_LEVEL_TRUTH!$N:$N,MATCH($A21,SONG_LEVEL_TRUTH!$A:$A,0)))=TRIM(INDEX(SONG_LEVEL_TRUTH!$P:$P,MATCH($A21,SONG_LEVEL_TRUTH!$A:$A,0))),"YES","NO"),""),"")</f>
        <v/>
      </c>
      <c r="L21" s="13">
        <f>IFERROR(IF(AND(ISNUMBER(FIND("/",INDEX(SONG_LEVEL_TRUTH!$N:$N,MATCH($A21,SONG_LEVEL_TRUTH!$A:$A,0)))),ISNUMBER(FIND("/",INDEX(SONG_LEVEL_TRUTH!$Q:$Q,MATCH($A21,SONG_LEVEL_TRUTH!$A:$A,0)))),NOT(ISNUMBER(FIND("UNKNOWN",INDEX(SONG_LEVEL_TRUTH!$N:$N,MATCH($A21,SONG_LEVEL_TRUTH!$A:$A,0)))))),IF(TRIM(INDEX(SONG_LEVEL_TRUTH!$N:$N,MATCH($A21,SONG_LEVEL_TRUTH!$A:$A,0)))=TRIM(INDEX(SONG_LEVEL_TRUTH!$Q:$Q,MATCH($A21,SONG_LEVEL_TRUTH!$A:$A,0))),"YES","NO"),""),"")</f>
        <v/>
      </c>
      <c r="M21" s="13">
        <f>IFERROR(IF(AND(ISNUMBER(FIND("/",INDEX(SONG_LEVEL_TRUTH!$N:$N,MATCH($A21,SONG_LEVEL_TRUTH!$A:$A,0)))),ISNUMBER(FIND("/",INDEX(SONG_LEVEL_TRUTH!$R:$R,MATCH($A21,SONG_LEVEL_TRUTH!$A:$A,0)))),NOT(ISNUMBER(FIND("UNKNOWN",INDEX(SONG_LEVEL_TRUTH!$N:$N,MATCH($A21,SONG_LEVEL_TRUTH!$A:$A,0)))))),IF(TRIM(INDEX(SONG_LEVEL_TRUTH!$N:$N,MATCH($A21,SONG_LEVEL_TRUTH!$A:$A,0)))=TRIM(INDEX(SONG_LEVEL_TRUTH!$R:$R,MATCH($A21,SONG_LEVEL_TRUTH!$A:$A,0))),"YES","NO"),""),"")</f>
        <v/>
      </c>
      <c r="N21" s="13">
        <f>IFERROR(IF(AND(ISNUMBER(INDEX(SONG_LEVEL_TRUTH!$D:$D,MATCH($A21,SONG_LEVEL_TRUTH!$A:$A,0))),ISNUMBER(INDEX(SONG_LEVEL_TRUTH!$E:$E,MATCH($A21,SONG_LEVEL_TRUTH!$A:$A,0)))),IF(INDEX(SONG_LEVEL_TRUTH!$D:$D,MATCH($A21,SONG_LEVEL_TRUTH!$A:$A,0))=INDEX(SONG_LEVEL_TRUTH!$E:$E,MATCH($A21,SONG_LEVEL_TRUTH!$A:$A,0)),"YES","NO"),""),"")</f>
        <v/>
      </c>
      <c r="O21" s="13">
        <f>IFERROR(IF(AND(ISNUMBER(INDEX(SONG_LEVEL_TRUTH!$D:$D,MATCH($A21,SONG_LEVEL_TRUTH!$A:$A,0))),ISNUMBER(INDEX(SONG_LEVEL_TRUTH!$F:$F,MATCH($A21,SONG_LEVEL_TRUTH!$A:$A,0)))),IF(INDEX(SONG_LEVEL_TRUTH!$D:$D,MATCH($A21,SONG_LEVEL_TRUTH!$A:$A,0))=INDEX(SONG_LEVEL_TRUTH!$F:$F,MATCH($A21,SONG_LEVEL_TRUTH!$A:$A,0)),"YES","NO"),""),"")</f>
        <v/>
      </c>
      <c r="P21" s="13">
        <f>IFERROR(IF(AND(ISNUMBER(INDEX(SONG_LEVEL_TRUTH!$D:$D,MATCH($A21,SONG_LEVEL_TRUTH!$A:$A,0))),ISNUMBER(INDEX(SONG_LEVEL_TRUTH!$G:$G,MATCH($A21,SONG_LEVEL_TRUTH!$A:$A,0)))),IF(INDEX(SONG_LEVEL_TRUTH!$D:$D,MATCH($A21,SONG_LEVEL_TRUTH!$A:$A,0))=INDEX(SONG_LEVEL_TRUTH!$G:$G,MATCH($A21,SONG_LEVEL_TRUTH!$A:$A,0)),"YES","NO"),""),"")</f>
        <v/>
      </c>
      <c r="Q21" s="13">
        <f>IFERROR(IF(AND(ISNUMBER(INDEX(SONG_LEVEL_TRUTH!$D:$D,MATCH($A21,SONG_LEVEL_TRUTH!$A:$A,0))),ISNUMBER(INDEX(SONG_LEVEL_TRUTH!$H:$H,MATCH($A21,SONG_LEVEL_TRUTH!$A:$A,0)))),IF(INDEX(SONG_LEVEL_TRUTH!$D:$D,MATCH($A21,SONG_LEVEL_TRUTH!$A:$A,0))=INDEX(SONG_LEVEL_TRUTH!$H:$H,MATCH($A21,SONG_LEVEL_TRUTH!$A:$A,0)),"YES","NO"),""),"")</f>
        <v/>
      </c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3">
      <c r="A23" t="inlineStr">
        <is>
          <t>Blank = not enough verified ground truth yet. Key, chord, timing and note accuracy are calculated later once ground truth is entered; nothing here is an estimate.</t>
        </is>
      </c>
    </row>
  </sheetData>
  <autoFilter ref="A1:AD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4.4"/>
  <cols>
    <col width="130" customWidth="1" min="1" max="1"/>
  </cols>
  <sheetData>
    <row r="1" ht="18" customHeight="1">
      <c r="A1" s="1" t="inlineStr">
        <is>
          <t>Wilsify AI - ground truth for your 12 demo videos</t>
        </is>
      </c>
    </row>
    <row r="2">
      <c r="A2" s="2" t="n"/>
    </row>
    <row r="3">
      <c r="A3" s="2" t="inlineStr">
        <is>
          <t>1. Go to the 'Videos' sheet. Yellow cells are for you. Fill what you KNOW; blank = not scored. Wrong answers hurt more than blanks.</t>
        </is>
      </c>
    </row>
    <row r="4">
      <c r="A4" s="2" t="inlineStr">
        <is>
          <t>2. Write everything as the shapes/key YOU PLAY. If you used a capo, enter the fret number (0 = no capo) and I convert to the sounding chords.</t>
        </is>
      </c>
    </row>
    <row r="5">
      <c r="A5" s="2" t="inlineStr">
        <is>
          <t>3. BPM: use Wilsify's Tap Tempo or tap along for 20 seconds.</t>
        </is>
      </c>
    </row>
    <row r="6" ht="28.8" customHeight="1">
      <c r="A6" s="2" t="inlineStr">
        <is>
          <t>4. 'Chords' sheet (optional, gives chord + timing accuracy): one row per chord change, time = when the chord starts (m:ss, e.g. 0:08 or 1:05.5). Use N for silence. Doing only the first 30-40 s is fine; end with a row '0:40 N'.</t>
        </is>
      </c>
    </row>
    <row r="7">
      <c r="A7" s="2" t="inlineStr">
        <is>
          <t>5. 'Wilsify said' is what the app currently answers. It is only for comparison, do not copy it - fill the truth from what you actually played.</t>
        </is>
      </c>
    </row>
    <row r="8">
      <c r="A8" s="2" t="inlineStr">
        <is>
          <t>6. Send the file back (just drop it in this chat).</t>
        </is>
      </c>
    </row>
    <row r="9">
      <c r="A9" s="2" t="n"/>
    </row>
    <row r="10">
      <c r="A10" s="2" t="inlineStr">
        <is>
          <t>Videos are saved with memorable names in:  Analysis_demo folder\Named  (originals untouched).</t>
        </is>
      </c>
    </row>
    <row r="11">
      <c r="A1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20" customWidth="1" min="2" max="3"/>
    <col width="22" customWidth="1" min="4" max="5"/>
    <col width="13" customWidth="1" min="6" max="6"/>
    <col width="16" customWidth="1" min="7" max="7"/>
    <col width="12" customWidth="1" min="8" max="8"/>
    <col width="50" customWidth="1" min="9" max="9"/>
  </cols>
  <sheetData>
    <row r="1">
      <c r="A1" s="28" t="inlineStr">
        <is>
          <t>Test ID</t>
        </is>
      </c>
      <c r="B1" s="28" t="inlineStr">
        <is>
          <t>Essentia key (bgate)</t>
        </is>
      </c>
      <c r="C1" s="28" t="inlineStr">
        <is>
          <t>Essentia key (edma)</t>
        </is>
      </c>
      <c r="D1" s="28" t="inlineStr">
        <is>
          <t>Essentia key (temperley)</t>
        </is>
      </c>
      <c r="E1" s="28" t="inlineStr">
        <is>
          <t>Essentia key (krumhansl)</t>
        </is>
      </c>
      <c r="F1" s="28" t="inlineStr">
        <is>
          <t>Essentia BPM</t>
        </is>
      </c>
      <c r="G1" s="28" t="inlineStr">
        <is>
          <t>Essentia tempo conf</t>
        </is>
      </c>
      <c r="H1" s="28" t="inlineStr">
        <is>
          <t>librosa BPM</t>
        </is>
      </c>
      <c r="I1" s="28" t="inlineStr">
        <is>
          <t>Essentia top chords (not timed, unverified)</t>
        </is>
      </c>
    </row>
    <row r="2">
      <c r="A2" t="inlineStr">
        <is>
          <t>TEST_001</t>
        </is>
      </c>
      <c r="B2" t="inlineStr">
        <is>
          <t>F# major</t>
        </is>
      </c>
      <c r="C2" t="inlineStr">
        <is>
          <t>F# major</t>
        </is>
      </c>
      <c r="D2" t="inlineStr">
        <is>
          <t>B major</t>
        </is>
      </c>
      <c r="E2" t="inlineStr">
        <is>
          <t>F# major</t>
        </is>
      </c>
      <c r="F2" t="n">
        <v>123.6</v>
      </c>
      <c r="G2" t="n">
        <v>1.91</v>
      </c>
      <c r="H2" t="n">
        <v>123</v>
      </c>
      <c r="I2" t="inlineStr">
        <is>
          <t>F#, B, Abm, C#m, Bbm, C#</t>
        </is>
      </c>
    </row>
    <row r="3">
      <c r="A3" t="inlineStr">
        <is>
          <t>TEST_002</t>
        </is>
      </c>
      <c r="B3" t="inlineStr">
        <is>
          <t>D major</t>
        </is>
      </c>
      <c r="C3" t="inlineStr">
        <is>
          <t>D major</t>
        </is>
      </c>
      <c r="D3" t="inlineStr">
        <is>
          <t>D major</t>
        </is>
      </c>
      <c r="E3" t="inlineStr">
        <is>
          <t>D major</t>
        </is>
      </c>
      <c r="F3" t="n">
        <v>178.2</v>
      </c>
      <c r="G3" t="n">
        <v>1.55</v>
      </c>
      <c r="H3" t="n">
        <v>89.09999999999999</v>
      </c>
      <c r="I3" t="inlineStr">
        <is>
          <t>D, A, F#m, Bm, C#m, Em</t>
        </is>
      </c>
    </row>
    <row r="4">
      <c r="A4" t="inlineStr">
        <is>
          <t>TEST_003</t>
        </is>
      </c>
      <c r="B4" t="inlineStr">
        <is>
          <t>Bb major</t>
        </is>
      </c>
      <c r="C4" t="inlineStr">
        <is>
          <t>F major</t>
        </is>
      </c>
      <c r="D4" t="inlineStr">
        <is>
          <t>Bb major</t>
        </is>
      </c>
      <c r="E4" t="inlineStr">
        <is>
          <t>Bb major</t>
        </is>
      </c>
      <c r="F4" t="n">
        <v>154.4</v>
      </c>
      <c r="G4" t="n">
        <v>0.97</v>
      </c>
      <c r="H4" t="n">
        <v>76</v>
      </c>
      <c r="I4" t="inlineStr">
        <is>
          <t>F, Bb, Gm, Dm, Eb, C</t>
        </is>
      </c>
    </row>
    <row r="5">
      <c r="A5" t="inlineStr">
        <is>
          <t>TEST_004</t>
        </is>
      </c>
      <c r="B5" t="inlineStr">
        <is>
          <t>E major</t>
        </is>
      </c>
      <c r="C5" t="inlineStr">
        <is>
          <t>E major</t>
        </is>
      </c>
      <c r="D5" t="inlineStr">
        <is>
          <t>E major</t>
        </is>
      </c>
      <c r="E5" t="inlineStr">
        <is>
          <t>E major</t>
        </is>
      </c>
      <c r="F5" t="n">
        <v>108.4</v>
      </c>
      <c r="G5" t="n">
        <v>0.5600000000000001</v>
      </c>
      <c r="H5" t="n">
        <v>107.7</v>
      </c>
      <c r="I5" t="inlineStr">
        <is>
          <t>E, B, C#m, A, Abm, F#</t>
        </is>
      </c>
    </row>
    <row r="6">
      <c r="A6" t="inlineStr">
        <is>
          <t>TEST_005</t>
        </is>
      </c>
      <c r="B6" t="inlineStr">
        <is>
          <t>Eb major</t>
        </is>
      </c>
      <c r="C6" t="inlineStr">
        <is>
          <t>Eb major</t>
        </is>
      </c>
      <c r="D6" t="inlineStr">
        <is>
          <t>Eb major</t>
        </is>
      </c>
      <c r="E6" t="inlineStr">
        <is>
          <t>Eb major</t>
        </is>
      </c>
      <c r="F6" t="n">
        <v>129.5</v>
      </c>
      <c r="G6" t="n">
        <v>0.89</v>
      </c>
      <c r="H6" t="n">
        <v>129.2</v>
      </c>
      <c r="I6" t="inlineStr">
        <is>
          <t>Eb, Bb, Cm, Ab, Ebm, Fm</t>
        </is>
      </c>
    </row>
    <row r="7">
      <c r="A7" t="inlineStr">
        <is>
          <t>TEST_006</t>
        </is>
      </c>
      <c r="B7" t="inlineStr">
        <is>
          <t>G major</t>
        </is>
      </c>
      <c r="C7" t="inlineStr">
        <is>
          <t>G major</t>
        </is>
      </c>
      <c r="D7" t="inlineStr">
        <is>
          <t>G major</t>
        </is>
      </c>
      <c r="E7" t="inlineStr">
        <is>
          <t>G major</t>
        </is>
      </c>
      <c r="F7" t="n">
        <v>104.5</v>
      </c>
      <c r="G7" t="n">
        <v>2.54</v>
      </c>
      <c r="H7" t="n">
        <v>107.7</v>
      </c>
      <c r="I7" t="inlineStr">
        <is>
          <t>G, D, Am, A, Bm, Em</t>
        </is>
      </c>
    </row>
    <row r="8">
      <c r="A8" t="inlineStr">
        <is>
          <t>TEST_007</t>
        </is>
      </c>
      <c r="B8" t="inlineStr">
        <is>
          <t>E minor</t>
        </is>
      </c>
      <c r="C8" t="inlineStr">
        <is>
          <t>E minor</t>
        </is>
      </c>
      <c r="D8" t="inlineStr">
        <is>
          <t>G major</t>
        </is>
      </c>
      <c r="E8" t="inlineStr">
        <is>
          <t>E minor</t>
        </is>
      </c>
      <c r="F8" t="n">
        <v>117.9</v>
      </c>
      <c r="G8" t="n">
        <v>2.48</v>
      </c>
      <c r="H8" t="n">
        <v>117.5</v>
      </c>
      <c r="I8" t="inlineStr">
        <is>
          <t>Em, D, C, Am, Bm, G</t>
        </is>
      </c>
    </row>
    <row r="9">
      <c r="A9" t="inlineStr">
        <is>
          <t>TEST_008</t>
        </is>
      </c>
      <c r="B9" t="inlineStr">
        <is>
          <t>E major</t>
        </is>
      </c>
      <c r="C9" t="inlineStr">
        <is>
          <t>E major</t>
        </is>
      </c>
      <c r="D9" t="inlineStr">
        <is>
          <t>E major</t>
        </is>
      </c>
      <c r="E9" t="inlineStr">
        <is>
          <t>E major</t>
        </is>
      </c>
      <c r="F9" t="n">
        <v>98.8</v>
      </c>
      <c r="G9" t="n">
        <v>2.34</v>
      </c>
      <c r="H9" t="n">
        <v>198.8</v>
      </c>
      <c r="I9" t="inlineStr">
        <is>
          <t>E, A, C#m, Ab, B, C#</t>
        </is>
      </c>
    </row>
    <row r="10">
      <c r="A10" t="inlineStr">
        <is>
          <t>TEST_009</t>
        </is>
      </c>
      <c r="B10" t="inlineStr">
        <is>
          <t>D minor</t>
        </is>
      </c>
      <c r="C10" t="inlineStr">
        <is>
          <t>D minor</t>
        </is>
      </c>
      <c r="D10" t="inlineStr">
        <is>
          <t>D minor</t>
        </is>
      </c>
      <c r="E10" t="inlineStr">
        <is>
          <t>D minor</t>
        </is>
      </c>
      <c r="F10" t="n">
        <v>104</v>
      </c>
      <c r="G10" t="n">
        <v>3.36</v>
      </c>
      <c r="H10" t="n">
        <v>136</v>
      </c>
      <c r="I10" t="inlineStr">
        <is>
          <t>Dm, Am, F, C, Bb, C#m</t>
        </is>
      </c>
    </row>
    <row r="11">
      <c r="A11" t="inlineStr">
        <is>
          <t>TEST_010</t>
        </is>
      </c>
      <c r="B11" t="inlineStr">
        <is>
          <t>B minor</t>
        </is>
      </c>
      <c r="C11" t="inlineStr">
        <is>
          <t>B minor</t>
        </is>
      </c>
      <c r="D11" t="inlineStr">
        <is>
          <t>B minor</t>
        </is>
      </c>
      <c r="E11" t="inlineStr">
        <is>
          <t>B minor</t>
        </is>
      </c>
      <c r="F11" t="n">
        <v>111.6</v>
      </c>
      <c r="G11" t="n">
        <v>0.85</v>
      </c>
      <c r="H11" t="n">
        <v>112.3</v>
      </c>
      <c r="I11" t="inlineStr">
        <is>
          <t>F#, E, B, A, Bm, Bb</t>
        </is>
      </c>
    </row>
    <row r="12">
      <c r="A12" t="inlineStr">
        <is>
          <t>TEST_011</t>
        </is>
      </c>
      <c r="B12" t="inlineStr">
        <is>
          <t>E major</t>
        </is>
      </c>
      <c r="C12" t="inlineStr">
        <is>
          <t>E major</t>
        </is>
      </c>
      <c r="D12" t="inlineStr">
        <is>
          <t>E major</t>
        </is>
      </c>
      <c r="E12" t="inlineStr">
        <is>
          <t>E major</t>
        </is>
      </c>
      <c r="F12" t="n">
        <v>122.1</v>
      </c>
      <c r="G12" t="n">
        <v>3.22</v>
      </c>
      <c r="H12" t="n">
        <v>123</v>
      </c>
      <c r="I12" t="inlineStr">
        <is>
          <t>B, E, Am, Em, A, G</t>
        </is>
      </c>
    </row>
    <row r="13">
      <c r="A13" t="inlineStr">
        <is>
          <t>TEST_012</t>
        </is>
      </c>
      <c r="B13" t="inlineStr">
        <is>
          <t>Ab minor</t>
        </is>
      </c>
      <c r="C13" t="inlineStr">
        <is>
          <t>Ab minor</t>
        </is>
      </c>
      <c r="D13" t="inlineStr">
        <is>
          <t>Ab minor</t>
        </is>
      </c>
      <c r="E13" t="inlineStr">
        <is>
          <t>Ab minor</t>
        </is>
      </c>
      <c r="F13" t="n">
        <v>119.7</v>
      </c>
      <c r="G13" t="n">
        <v>0.42</v>
      </c>
      <c r="H13" t="n">
        <v>117.5</v>
      </c>
      <c r="I13" t="inlineStr">
        <is>
          <t>Abm, C#m, Eb, Gm, A, F#</t>
        </is>
      </c>
    </row>
    <row r="14">
      <c r="A14" t="inlineStr">
        <is>
          <t>TEST_013</t>
        </is>
      </c>
      <c r="B14" t="inlineStr">
        <is>
          <t>C major</t>
        </is>
      </c>
      <c r="C14" t="inlineStr">
        <is>
          <t>C major</t>
        </is>
      </c>
      <c r="D14" t="inlineStr">
        <is>
          <t>C major</t>
        </is>
      </c>
      <c r="E14" t="inlineStr">
        <is>
          <t>C major</t>
        </is>
      </c>
      <c r="F14" t="n">
        <v>102.7</v>
      </c>
      <c r="G14" t="n">
        <v>0.17</v>
      </c>
      <c r="H14" t="n">
        <v>103.4</v>
      </c>
      <c r="I14" t="inlineStr">
        <is>
          <t>C, F, Am, D, G, Em</t>
        </is>
      </c>
    </row>
    <row r="15">
      <c r="A15" t="inlineStr">
        <is>
          <t>TEST_014</t>
        </is>
      </c>
      <c r="B15" t="inlineStr">
        <is>
          <t>Eb major</t>
        </is>
      </c>
      <c r="C15" t="inlineStr">
        <is>
          <t>C minor</t>
        </is>
      </c>
      <c r="D15" t="inlineStr">
        <is>
          <t>Eb major</t>
        </is>
      </c>
      <c r="E15" t="inlineStr">
        <is>
          <t>Eb major</t>
        </is>
      </c>
      <c r="F15" t="n">
        <v>99.7</v>
      </c>
      <c r="G15" t="n">
        <v>1.26</v>
      </c>
      <c r="H15" t="n">
        <v>198.8</v>
      </c>
      <c r="I15" t="inlineStr">
        <is>
          <t>Cm, Bb, Gm, Bm, C, Eb</t>
        </is>
      </c>
    </row>
    <row r="16">
      <c r="A16" t="inlineStr">
        <is>
          <t>TEST_015</t>
        </is>
      </c>
      <c r="B16" t="inlineStr">
        <is>
          <t>C major</t>
        </is>
      </c>
      <c r="C16" t="inlineStr">
        <is>
          <t>C major</t>
        </is>
      </c>
      <c r="D16" t="inlineStr">
        <is>
          <t>C major</t>
        </is>
      </c>
      <c r="E16" t="inlineStr">
        <is>
          <t>C major</t>
        </is>
      </c>
      <c r="F16" t="n">
        <v>112.5</v>
      </c>
      <c r="G16" t="n">
        <v>1.93</v>
      </c>
      <c r="H16" t="n">
        <v>112.3</v>
      </c>
      <c r="I16" t="inlineStr">
        <is>
          <t>C, Am, F, Em, E, Dm</t>
        </is>
      </c>
    </row>
    <row r="17">
      <c r="A17" t="inlineStr">
        <is>
          <t>TEST_016</t>
        </is>
      </c>
      <c r="B17" t="inlineStr">
        <is>
          <t>A minor</t>
        </is>
      </c>
      <c r="C17" t="inlineStr">
        <is>
          <t>A minor</t>
        </is>
      </c>
      <c r="D17" t="inlineStr">
        <is>
          <t>A minor</t>
        </is>
      </c>
      <c r="E17" t="inlineStr">
        <is>
          <t>A minor</t>
        </is>
      </c>
      <c r="F17" t="n">
        <v>125.9</v>
      </c>
      <c r="G17" t="n">
        <v>0.19</v>
      </c>
      <c r="H17" t="n">
        <v>123</v>
      </c>
      <c r="I17" t="inlineStr">
        <is>
          <t>E, Am, G, Abm, F, Em</t>
        </is>
      </c>
    </row>
    <row r="18">
      <c r="A18" t="inlineStr">
        <is>
          <t>TEST_017</t>
        </is>
      </c>
      <c r="B18" t="inlineStr">
        <is>
          <t>D major</t>
        </is>
      </c>
      <c r="C18" t="inlineStr">
        <is>
          <t>D major</t>
        </is>
      </c>
      <c r="D18" t="inlineStr">
        <is>
          <t>D major</t>
        </is>
      </c>
      <c r="E18" t="inlineStr">
        <is>
          <t>D major</t>
        </is>
      </c>
      <c r="F18" t="n">
        <v>111.2</v>
      </c>
      <c r="G18" t="n">
        <v>-0.12</v>
      </c>
      <c r="H18" t="n">
        <v>112.3</v>
      </c>
      <c r="I18" t="inlineStr">
        <is>
          <t>D, A, G, Bm, F#m, Em</t>
        </is>
      </c>
    </row>
    <row r="19">
      <c r="A19" t="inlineStr">
        <is>
          <t>TEST_018</t>
        </is>
      </c>
      <c r="B19" t="inlineStr">
        <is>
          <t>G major</t>
        </is>
      </c>
      <c r="C19" t="inlineStr">
        <is>
          <t>G major</t>
        </is>
      </c>
      <c r="D19" t="inlineStr">
        <is>
          <t>G major</t>
        </is>
      </c>
      <c r="E19" t="inlineStr">
        <is>
          <t>G major</t>
        </is>
      </c>
      <c r="F19" t="n">
        <v>120.5</v>
      </c>
      <c r="G19" t="n">
        <v>1.11</v>
      </c>
      <c r="H19" t="n">
        <v>123</v>
      </c>
      <c r="I19" t="inlineStr">
        <is>
          <t>G, B, Em, C, D, Bm</t>
        </is>
      </c>
    </row>
    <row r="20">
      <c r="A20" t="inlineStr">
        <is>
          <t>TEST_019</t>
        </is>
      </c>
      <c r="B20" t="inlineStr">
        <is>
          <t>F major</t>
        </is>
      </c>
      <c r="C20" t="inlineStr">
        <is>
          <t>F major</t>
        </is>
      </c>
      <c r="D20" t="inlineStr">
        <is>
          <t>F major</t>
        </is>
      </c>
      <c r="E20" t="inlineStr">
        <is>
          <t>F major</t>
        </is>
      </c>
      <c r="F20" t="n">
        <v>118.7</v>
      </c>
      <c r="G20" t="n">
        <v>1.87</v>
      </c>
      <c r="H20" t="n">
        <v>123</v>
      </c>
      <c r="I20" t="inlineStr">
        <is>
          <t>F, C, Gm, Bb, Dm, G</t>
        </is>
      </c>
    </row>
    <row r="21">
      <c r="A21" t="inlineStr">
        <is>
          <t>TEST_020</t>
        </is>
      </c>
      <c r="B21" t="inlineStr">
        <is>
          <t>E major</t>
        </is>
      </c>
      <c r="C21" t="inlineStr">
        <is>
          <t>E major</t>
        </is>
      </c>
      <c r="D21" t="inlineStr">
        <is>
          <t>E major</t>
        </is>
      </c>
      <c r="E21" t="inlineStr">
        <is>
          <t>E major</t>
        </is>
      </c>
      <c r="F21" t="n">
        <v>113.7</v>
      </c>
      <c r="G21" t="n">
        <v>0.38</v>
      </c>
      <c r="H21" t="n">
        <v>107.7</v>
      </c>
      <c r="I21" t="inlineStr">
        <is>
          <t>E, B, C#m, A, Abm, F#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62" customWidth="1" min="1" max="1"/>
    <col width="95" customWidth="1" min="2" max="2"/>
  </cols>
  <sheetData>
    <row r="1">
      <c r="A1" s="29" t="inlineStr">
        <is>
          <t>Key detection validation (19 scoreable tests; TEST_010 excluded: ground truth unclear)</t>
        </is>
      </c>
    </row>
    <row r="2">
      <c r="A2" s="28" t="inlineStr">
        <is>
          <t>Method</t>
        </is>
      </c>
      <c r="B2" s="28" t="inlineStr">
        <is>
          <t>Result</t>
        </is>
      </c>
    </row>
    <row r="3">
      <c r="A3" t="inlineStr">
        <is>
          <t>Essentia single profile, best (shaath / temperley2005)</t>
        </is>
      </c>
      <c r="B3" t="inlineStr">
        <is>
          <t>18/19 (94.7%) - but chosen after seeing all data, so optimistic</t>
        </is>
      </c>
    </row>
    <row r="4">
      <c r="A4" t="inlineStr">
        <is>
          <t>Essentia bgate (default-style)</t>
        </is>
      </c>
      <c r="B4" t="inlineStr">
        <is>
          <t>17/19 (89.5%)</t>
        </is>
      </c>
    </row>
    <row r="5">
      <c r="A5" t="inlineStr">
        <is>
          <t>Ensemble: majority vote of 16 key engines, NO fitting</t>
        </is>
      </c>
      <c r="B5" t="inlineStr">
        <is>
          <t>17/19 (89.5%) - misses: TEST_001, TEST_014</t>
        </is>
      </c>
    </row>
    <row r="6">
      <c r="A6" t="inlineStr">
        <is>
          <t>Train/test split (12 train / 7 test, seed 7), voters chosen on train</t>
        </is>
      </c>
      <c r="B6" t="inlineStr">
        <is>
          <t>train 100%, test 6/7 (85.7%)</t>
        </is>
      </c>
    </row>
    <row r="7">
      <c r="A7" t="inlineStr">
        <is>
          <t>Leave-one-out cross-validation, voters re-chosen each time</t>
        </is>
      </c>
      <c r="B7" t="inlineStr">
        <is>
          <t>15/19 (78.9%) - selecting voters on 19 songs overfits</t>
        </is>
      </c>
    </row>
    <row r="8">
      <c r="A8" t="inlineStr">
        <is>
          <t>Conclusion</t>
        </is>
      </c>
      <c r="B8" t="inlineStr">
        <is>
          <t>Use the untuned vote (89.5%). 100% is not reached. Both misses are capo/relative-key ambiguity (TEST_001 capo 4, TEST_014 Cm vs Eb).</t>
        </is>
      </c>
    </row>
    <row r="9">
      <c r="A9" t="inlineStr">
        <is>
          <t>BPM</t>
        </is>
      </c>
      <c r="B9" t="inlineStr">
        <is>
          <t>Not scored: ground-truth BPM is UNKNOWN. TEST_009 and TEST_017 have no tempo agreement between engines - check by ear.</t>
        </is>
      </c>
    </row>
    <row r="10">
      <c r="A10" t="inlineStr">
        <is>
          <t>Sample size</t>
        </is>
      </c>
      <c r="B10" t="inlineStr">
        <is>
          <t>19 songs is far too few to claim a general accuracy figure.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4" customWidth="1" min="1" max="2"/>
    <col width="16" customWidth="1" min="3" max="5"/>
    <col width="20" customWidth="1" min="6" max="6"/>
    <col width="14" customWidth="1" min="7" max="7"/>
    <col width="30" customWidth="1" min="8" max="8"/>
    <col width="90" customWidth="1" min="9" max="9"/>
  </cols>
  <sheetData>
    <row r="1" ht="45" customHeight="1">
      <c r="A1" s="30" t="inlineStr">
        <is>
          <t>Planned Test ID</t>
        </is>
      </c>
      <c r="B1" s="30" t="inlineStr">
        <is>
          <t>Metronome BPM</t>
        </is>
      </c>
      <c r="C1" s="30" t="inlineStr">
        <is>
          <t>Metronome Time Signature</t>
        </is>
      </c>
      <c r="D1" s="30" t="inlineStr">
        <is>
          <t>Expected Beat Grouping</t>
        </is>
      </c>
      <c r="E1" s="30" t="inlineStr">
        <is>
          <t>Expected Subdivision</t>
        </is>
      </c>
      <c r="F1" s="30" t="inlineStr">
        <is>
          <t>Ground Truth Method</t>
        </is>
      </c>
      <c r="G1" s="30" t="inlineStr">
        <is>
          <t>Status</t>
        </is>
      </c>
      <c r="H1" s="30" t="inlineStr">
        <is>
          <t>Recorded File</t>
        </is>
      </c>
      <c r="I1" s="30" t="inlineStr">
        <is>
          <t>Notes</t>
        </is>
      </c>
    </row>
    <row r="2">
      <c r="A2" t="inlineStr">
        <is>
          <t>CTRL_001</t>
        </is>
      </c>
      <c r="B2" t="n">
        <v>60</v>
      </c>
      <c r="C2" t="inlineStr">
        <is>
          <t>4/4</t>
        </is>
      </c>
      <c r="D2" t="n">
        <v>4</v>
      </c>
      <c r="E2" t="n">
        <v>2</v>
      </c>
      <c r="F2" t="inlineStr">
        <is>
          <t>KNOWN_METRONOME</t>
        </is>
      </c>
      <c r="G2" t="inlineStr">
        <is>
          <t>TO RECORD</t>
        </is>
      </c>
      <c r="H2" s="31" t="n"/>
      <c r="I2" s="31" t="inlineStr">
        <is>
          <t>Play along to the metronome; set the metronome app to the BPM and meter above; keep it running for the whole take (&gt;= 30 s, 8+ bars).</t>
        </is>
      </c>
    </row>
    <row r="3">
      <c r="A3" t="inlineStr">
        <is>
          <t>CTRL_002</t>
        </is>
      </c>
      <c r="B3" t="n">
        <v>80</v>
      </c>
      <c r="C3" t="inlineStr">
        <is>
          <t>3/4</t>
        </is>
      </c>
      <c r="D3" t="n">
        <v>3</v>
      </c>
      <c r="E3" t="n">
        <v>2</v>
      </c>
      <c r="F3" t="inlineStr">
        <is>
          <t>KNOWN_METRONOME</t>
        </is>
      </c>
      <c r="G3" t="inlineStr">
        <is>
          <t>TO RECORD</t>
        </is>
      </c>
      <c r="H3" s="31" t="n"/>
      <c r="I3" s="31" t="inlineStr">
        <is>
          <t>Play along to the metronome; set the metronome app to the BPM and meter above; keep it running for the whole take (&gt;= 30 s, 8+ bars).</t>
        </is>
      </c>
    </row>
    <row r="4">
      <c r="A4" t="inlineStr">
        <is>
          <t>CTRL_003</t>
        </is>
      </c>
      <c r="B4" t="n">
        <v>100</v>
      </c>
      <c r="C4" t="inlineStr">
        <is>
          <t>4/4</t>
        </is>
      </c>
      <c r="D4" t="n">
        <v>4</v>
      </c>
      <c r="E4" t="n">
        <v>2</v>
      </c>
      <c r="F4" t="inlineStr">
        <is>
          <t>KNOWN_METRONOME</t>
        </is>
      </c>
      <c r="G4" t="inlineStr">
        <is>
          <t>TO RECORD</t>
        </is>
      </c>
      <c r="H4" s="31" t="n"/>
      <c r="I4" s="31" t="inlineStr">
        <is>
          <t>Play along to the metronome; set the metronome app to the BPM and meter above; keep it running for the whole take (&gt;= 30 s, 8+ bars).</t>
        </is>
      </c>
    </row>
    <row r="5">
      <c r="A5" t="inlineStr">
        <is>
          <t>CTRL_004</t>
        </is>
      </c>
      <c r="B5" t="n">
        <v>100</v>
      </c>
      <c r="C5" t="inlineStr">
        <is>
          <t>6/8</t>
        </is>
      </c>
      <c r="D5" t="n">
        <v>2</v>
      </c>
      <c r="E5" t="n">
        <v>3</v>
      </c>
      <c r="F5" t="inlineStr">
        <is>
          <t>KNOWN_METRONOME</t>
        </is>
      </c>
      <c r="G5" t="inlineStr">
        <is>
          <t>TO RECORD</t>
        </is>
      </c>
      <c r="H5" s="31" t="n"/>
      <c r="I5" s="31" t="inlineStr">
        <is>
          <t>Play along to the metronome; set the metronome app to the BPM and meter above; keep it running for the whole take (&gt;= 30 s, 8+ bars).</t>
        </is>
      </c>
    </row>
    <row r="6">
      <c r="A6" t="inlineStr">
        <is>
          <t>CTRL_005</t>
        </is>
      </c>
      <c r="B6" t="n">
        <v>120</v>
      </c>
      <c r="C6" t="inlineStr">
        <is>
          <t>4/4</t>
        </is>
      </c>
      <c r="D6" t="n">
        <v>4</v>
      </c>
      <c r="E6" t="n">
        <v>2</v>
      </c>
      <c r="F6" t="inlineStr">
        <is>
          <t>KNOWN_METRONOME</t>
        </is>
      </c>
      <c r="G6" t="inlineStr">
        <is>
          <t>TO RECORD</t>
        </is>
      </c>
      <c r="H6" s="31" t="n"/>
      <c r="I6" s="31" t="inlineStr">
        <is>
          <t>Play along to the metronome; set the metronome app to the BPM and meter above; keep it running for the whole take (&gt;= 30 s, 8+ bars).</t>
        </is>
      </c>
    </row>
    <row r="7">
      <c r="A7" t="inlineStr">
        <is>
          <t>CTRL_006</t>
        </is>
      </c>
      <c r="B7" t="n">
        <v>120</v>
      </c>
      <c r="C7" t="inlineStr">
        <is>
          <t>12/8</t>
        </is>
      </c>
      <c r="D7" t="n">
        <v>4</v>
      </c>
      <c r="E7" t="n">
        <v>3</v>
      </c>
      <c r="F7" t="inlineStr">
        <is>
          <t>KNOWN_METRONOME</t>
        </is>
      </c>
      <c r="G7" t="inlineStr">
        <is>
          <t>TO RECORD</t>
        </is>
      </c>
      <c r="H7" s="31" t="n"/>
      <c r="I7" s="31" t="inlineStr">
        <is>
          <t>Play along to the metronome; set the metronome app to the BPM and meter above; keep it running for the whole take (&gt;= 30 s, 8+ bars).</t>
        </is>
      </c>
    </row>
    <row r="8">
      <c r="A8" t="inlineStr">
        <is>
          <t>CTRL_007</t>
        </is>
      </c>
      <c r="B8" t="n">
        <v>140</v>
      </c>
      <c r="C8" t="inlineStr">
        <is>
          <t>3/4</t>
        </is>
      </c>
      <c r="D8" t="n">
        <v>3</v>
      </c>
      <c r="E8" t="n">
        <v>2</v>
      </c>
      <c r="F8" t="inlineStr">
        <is>
          <t>KNOWN_METRONOME</t>
        </is>
      </c>
      <c r="G8" t="inlineStr">
        <is>
          <t>TO RECORD</t>
        </is>
      </c>
      <c r="H8" s="31" t="n"/>
      <c r="I8" s="31" t="inlineStr">
        <is>
          <t>Play along to the metronome; set the metronome app to the BPM and meter above; keep it running for the whole take (&gt;= 30 s, 8+ bars).</t>
        </is>
      </c>
    </row>
    <row r="9">
      <c r="A9" t="inlineStr">
        <is>
          <t>CTRL_008</t>
        </is>
      </c>
      <c r="B9" t="n">
        <v>160</v>
      </c>
      <c r="C9" t="inlineStr">
        <is>
          <t>4/4</t>
        </is>
      </c>
      <c r="D9" t="n">
        <v>4</v>
      </c>
      <c r="E9" t="n">
        <v>2</v>
      </c>
      <c r="F9" t="inlineStr">
        <is>
          <t>KNOWN_METRONOME</t>
        </is>
      </c>
      <c r="G9" t="inlineStr">
        <is>
          <t>TO RECORD</t>
        </is>
      </c>
      <c r="H9" s="31" t="n"/>
      <c r="I9" s="31" t="inlineStr">
        <is>
          <t>Play along to the metronome; set the metronome app to the BPM and meter above; keep it running for the whole take (&gt;= 30 s, 8+ bars).</t>
        </is>
      </c>
    </row>
    <row r="11">
      <c r="A11" t="inlineStr">
        <is>
          <t>When recorded: add a row to TEST_INDEX / SONG_LEVEL_TRUTH / BPM_TRUTH / METER_TRUTH with this ID, enter Metronome BPM + Time Signature and set the ground-truth method to KNOWN_METRONOME / EXACT_REFERENCE. Known settings are authoritative; detector output stays in the detected columns.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4" customWidth="1" min="1" max="1"/>
    <col width="10" customWidth="1" min="2" max="2"/>
    <col width="18" customWidth="1" min="3" max="3"/>
    <col width="13" customWidth="1" min="4" max="4"/>
    <col width="16" customWidth="1" min="5" max="5"/>
    <col width="20" customWidth="1" min="6" max="6"/>
    <col width="16" customWidth="1" min="7" max="8"/>
    <col width="20" customWidth="1" min="9" max="9"/>
    <col width="14" customWidth="1" min="10" max="10"/>
  </cols>
  <sheetData>
    <row r="1" ht="45" customHeight="1">
      <c r="A1" s="30" t="inlineStr">
        <is>
          <t>Synthetic test (known settings)</t>
        </is>
      </c>
      <c r="B1" s="30" t="inlineStr">
        <is>
          <t>True BPM</t>
        </is>
      </c>
      <c r="C1" s="30" t="inlineStr">
        <is>
          <t>True Time Signature</t>
        </is>
      </c>
      <c r="D1" s="30" t="inlineStr">
        <is>
          <t>Measured BPM</t>
        </is>
      </c>
      <c r="E1" s="30" t="inlineStr">
        <is>
          <t>Detected pulse BPM</t>
        </is>
      </c>
      <c r="F1" s="30" t="inlineStr">
        <is>
          <t>Detected Time Signature</t>
        </is>
      </c>
      <c r="G1" s="30" t="inlineStr">
        <is>
          <t>Meter Confidence</t>
        </is>
      </c>
      <c r="H1" s="30" t="inlineStr">
        <is>
          <t>Tempo Confidence</t>
        </is>
      </c>
      <c r="I1" s="30" t="inlineStr">
        <is>
          <t>BPM result</t>
        </is>
      </c>
      <c r="J1" s="30" t="inlineStr">
        <is>
          <t>Meter result</t>
        </is>
      </c>
    </row>
    <row r="2">
      <c r="A2" t="inlineStr">
        <is>
          <t>60 BPM / 4/4 (synthetic plucks)</t>
        </is>
      </c>
      <c r="B2" t="n">
        <v>60</v>
      </c>
      <c r="C2" t="inlineStr">
        <is>
          <t>4/4</t>
        </is>
      </c>
      <c r="D2" t="n">
        <v>120.19</v>
      </c>
      <c r="E2" t="n">
        <v>120</v>
      </c>
      <c r="F2" t="inlineStr">
        <is>
          <t>2/4</t>
        </is>
      </c>
      <c r="G2" t="inlineStr">
        <is>
          <t>MEDIUM</t>
        </is>
      </c>
      <c r="H2" t="inlineStr">
        <is>
          <t>HIGH</t>
        </is>
      </c>
      <c r="I2" t="inlineStr">
        <is>
          <t>DOUBLE-TIME ERROR</t>
        </is>
      </c>
      <c r="J2" t="inlineStr">
        <is>
          <t>WRONG</t>
        </is>
      </c>
    </row>
    <row r="3">
      <c r="A3" t="inlineStr">
        <is>
          <t>80 BPM / 3/4 (synthetic plucks)</t>
        </is>
      </c>
      <c r="B3" t="n">
        <v>80</v>
      </c>
      <c r="C3" t="inlineStr">
        <is>
          <t>3/4</t>
        </is>
      </c>
      <c r="D3" t="n">
        <v>79.51000000000001</v>
      </c>
      <c r="E3" t="n">
        <v>80.7</v>
      </c>
      <c r="F3" t="inlineStr">
        <is>
          <t>3/4</t>
        </is>
      </c>
      <c r="G3" t="inlineStr">
        <is>
          <t>MEDIUM</t>
        </is>
      </c>
      <c r="H3" t="inlineStr">
        <is>
          <t>MEDIUM</t>
        </is>
      </c>
      <c r="I3" t="inlineStr">
        <is>
          <t>OK</t>
        </is>
      </c>
      <c r="J3" t="inlineStr">
        <is>
          <t>OK</t>
        </is>
      </c>
    </row>
    <row r="4">
      <c r="A4" t="inlineStr">
        <is>
          <t>100 BPM / 4/4 (synthetic plucks)</t>
        </is>
      </c>
      <c r="B4" t="n">
        <v>100</v>
      </c>
      <c r="C4" t="inlineStr">
        <is>
          <t>4/4</t>
        </is>
      </c>
      <c r="D4" t="n">
        <v>99.38</v>
      </c>
      <c r="E4" t="n">
        <v>99.90000000000001</v>
      </c>
      <c r="F4" t="inlineStr">
        <is>
          <t>4/4</t>
        </is>
      </c>
      <c r="G4" t="inlineStr">
        <is>
          <t>MEDIUM</t>
        </is>
      </c>
      <c r="H4" t="inlineStr">
        <is>
          <t>HIGH</t>
        </is>
      </c>
      <c r="I4" t="inlineStr">
        <is>
          <t>OK</t>
        </is>
      </c>
      <c r="J4" t="inlineStr">
        <is>
          <t>OK</t>
        </is>
      </c>
    </row>
    <row r="5">
      <c r="A5" t="inlineStr">
        <is>
          <t>100 BPM / 6/8 (synthetic plucks)</t>
        </is>
      </c>
      <c r="B5" t="n">
        <v>100</v>
      </c>
      <c r="C5" t="inlineStr">
        <is>
          <t>6/8</t>
        </is>
      </c>
      <c r="D5" t="n">
        <v>99.38</v>
      </c>
      <c r="E5" t="n">
        <v>99.90000000000001</v>
      </c>
      <c r="F5" t="inlineStr">
        <is>
          <t>6/8</t>
        </is>
      </c>
      <c r="G5" t="inlineStr">
        <is>
          <t>MEDIUM</t>
        </is>
      </c>
      <c r="H5" t="inlineStr">
        <is>
          <t>HIGH</t>
        </is>
      </c>
      <c r="I5" t="inlineStr">
        <is>
          <t>OK</t>
        </is>
      </c>
      <c r="J5" t="inlineStr">
        <is>
          <t>OK</t>
        </is>
      </c>
    </row>
    <row r="6">
      <c r="A6" t="inlineStr">
        <is>
          <t>120 BPM / 4/4 (synthetic plucks)</t>
        </is>
      </c>
      <c r="B6" t="n">
        <v>120</v>
      </c>
      <c r="C6" t="inlineStr">
        <is>
          <t>4/4</t>
        </is>
      </c>
      <c r="D6" t="n">
        <v>120.19</v>
      </c>
      <c r="E6" t="n">
        <v>117.5</v>
      </c>
      <c r="F6" t="inlineStr">
        <is>
          <t>4/4</t>
        </is>
      </c>
      <c r="G6" t="inlineStr">
        <is>
          <t>LOW</t>
        </is>
      </c>
      <c r="H6" t="inlineStr">
        <is>
          <t>HIGH</t>
        </is>
      </c>
      <c r="I6" t="inlineStr">
        <is>
          <t>OK</t>
        </is>
      </c>
      <c r="J6" t="inlineStr">
        <is>
          <t>OK</t>
        </is>
      </c>
    </row>
    <row r="7">
      <c r="A7" t="inlineStr">
        <is>
          <t>120 BPM / 12/8 (synthetic plucks)</t>
        </is>
      </c>
      <c r="B7" t="n">
        <v>120</v>
      </c>
      <c r="C7" t="inlineStr">
        <is>
          <t>12/8</t>
        </is>
      </c>
      <c r="D7" t="n">
        <v>120.19</v>
      </c>
      <c r="E7" t="n">
        <v>119.9</v>
      </c>
      <c r="F7" t="inlineStr">
        <is>
          <t>12/8</t>
        </is>
      </c>
      <c r="G7" t="inlineStr">
        <is>
          <t>MEDIUM</t>
        </is>
      </c>
      <c r="H7" t="inlineStr">
        <is>
          <t>HIGH</t>
        </is>
      </c>
      <c r="I7" t="inlineStr">
        <is>
          <t>OK</t>
        </is>
      </c>
      <c r="J7" t="inlineStr">
        <is>
          <t>OK</t>
        </is>
      </c>
    </row>
    <row r="8">
      <c r="A8" t="inlineStr">
        <is>
          <t>140 BPM / 3/4 (synthetic plucks)</t>
        </is>
      </c>
      <c r="B8" t="n">
        <v>140</v>
      </c>
      <c r="C8" t="inlineStr">
        <is>
          <t>3/4</t>
        </is>
      </c>
      <c r="D8" t="n">
        <v>139.67</v>
      </c>
      <c r="E8" t="n">
        <v>139.7</v>
      </c>
      <c r="F8" t="inlineStr">
        <is>
          <t>3/4</t>
        </is>
      </c>
      <c r="G8" t="inlineStr">
        <is>
          <t>MEDIUM</t>
        </is>
      </c>
      <c r="H8" t="inlineStr">
        <is>
          <t>HIGH</t>
        </is>
      </c>
      <c r="I8" t="inlineStr">
        <is>
          <t>OK</t>
        </is>
      </c>
      <c r="J8" t="inlineStr">
        <is>
          <t>OK</t>
        </is>
      </c>
    </row>
    <row r="9">
      <c r="A9" t="inlineStr">
        <is>
          <t>160 BPM / 4/4 (synthetic plucks)</t>
        </is>
      </c>
      <c r="B9" t="n">
        <v>160</v>
      </c>
      <c r="C9" t="inlineStr">
        <is>
          <t>4/4</t>
        </is>
      </c>
      <c r="D9" t="n">
        <v>161.5</v>
      </c>
      <c r="E9" t="n">
        <v>161.5</v>
      </c>
      <c r="F9" t="inlineStr">
        <is>
          <t>AMBIGUOUS</t>
        </is>
      </c>
      <c r="G9" t="inlineStr">
        <is>
          <t>LOW</t>
        </is>
      </c>
      <c r="H9" t="inlineStr">
        <is>
          <t>HIGH</t>
        </is>
      </c>
      <c r="I9" t="inlineStr">
        <is>
          <t>OK</t>
        </is>
      </c>
      <c r="J9" t="inlineStr">
        <is>
          <t>AMBIGUOUS</t>
        </is>
      </c>
    </row>
    <row r="11">
      <c r="A11" t="inlineStr">
        <is>
          <t>Reading: this is a pure-synthetic sanity check of the detector (clean accent on beat 1). Real guitar recordings are harder; real-file results are hypotheses until confirmed by a known metronome setting or by 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2026-10-16T07:26:59Z</dcterms:created>
  <dcterms:modified xmlns:dcterms="http://purl.org/dc/terms/" xmlns:xsi="http://www.w3.org/2001/XMLSchema-instance" xsi:type="dcterms:W3CDTF">2026-10-17T07:15:14Z</dcterms:modified>
  <cp:lastModifiedBy>wilbur fernandes</cp:lastModifiedBy>
</cp:coreProperties>
</file>